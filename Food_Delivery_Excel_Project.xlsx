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E816A513-91E5-4E96-8B0D-C31C9D937986}" xr6:coauthVersionLast="47" xr6:coauthVersionMax="47" xr10:uidLastSave="{00000000-0000-0000-0000-000000000000}"/>
  <bookViews>
    <workbookView xWindow="-108" yWindow="-108" windowWidth="23256" windowHeight="12456" xr2:uid="{00000000-000D-0000-FFFF-FFFF00000000}"/>
  </bookViews>
  <sheets>
    <sheet name="dashboard" sheetId="11" r:id="rId1"/>
    <sheet name="cleaned data" sheetId="2" r:id="rId2"/>
    <sheet name="Monthly sales" sheetId="4" r:id="rId3"/>
    <sheet name="citywise order count" sheetId="16" r:id="rId4"/>
    <sheet name="ratings" sheetId="6" r:id="rId5"/>
    <sheet name="order count" sheetId="7" r:id="rId6"/>
    <sheet name="pay mode" sheetId="8" r:id="rId7"/>
    <sheet name="TOP CUSTOMERS" sheetId="9" r:id="rId8"/>
    <sheet name="delivery time" sheetId="19" r:id="rId9"/>
    <sheet name="order status" sheetId="20" r:id="rId10"/>
    <sheet name="Dashboard_Requirements" sheetId="3" r:id="rId11"/>
    <sheet name="Project_Instructions" sheetId="1" r:id="rId12"/>
  </sheets>
  <definedNames>
    <definedName name="_xlnm._FilterDatabase" localSheetId="1" hidden="1">'cleaned data'!$A$1:$N$231</definedName>
    <definedName name="Slicer_Category">#N/A</definedName>
    <definedName name="Slicer_City">#N/A</definedName>
  </definedNames>
  <calcPr calcId="191028"/>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1" l="1"/>
  <c r="B11" i="11"/>
</calcChain>
</file>

<file path=xl/sharedStrings.xml><?xml version="1.0" encoding="utf-8"?>
<sst xmlns="http://schemas.openxmlformats.org/spreadsheetml/2006/main" count="2181" uniqueCount="556">
  <si>
    <t>Food Delivery Dashboard Project</t>
  </si>
  <si>
    <t>Tasks to Perform:</t>
  </si>
  <si>
    <t>1. Remove duplicate records</t>
  </si>
  <si>
    <t>2. Handle missing values</t>
  </si>
  <si>
    <t>3. Fix inconsistent text formatting</t>
  </si>
  <si>
    <t>4. Convert dates into proper format</t>
  </si>
  <si>
    <t>5. Clean phone numbers and emails</t>
  </si>
  <si>
    <t>6. Convert order amount into numeric format</t>
  </si>
  <si>
    <t>7. Standardize order status values</t>
  </si>
  <si>
    <t>8. Create Pivot Tables</t>
  </si>
  <si>
    <t>9. Build Dashboard with KPIs</t>
  </si>
  <si>
    <t>Suggested KPIs</t>
  </si>
  <si>
    <t>Total Orders</t>
  </si>
  <si>
    <t>Total Revenue</t>
  </si>
  <si>
    <t>Average Delivery Time</t>
  </si>
  <si>
    <t>Top Restaurant</t>
  </si>
  <si>
    <t>City-wise Orders</t>
  </si>
  <si>
    <t>Payment Mode Analysis</t>
  </si>
  <si>
    <t>Cancelled Orders %</t>
  </si>
  <si>
    <t>Order_ID</t>
  </si>
  <si>
    <t>City</t>
  </si>
  <si>
    <t>Restaurant</t>
  </si>
  <si>
    <t>Category</t>
  </si>
  <si>
    <t>Order_Amount</t>
  </si>
  <si>
    <t>Quantity</t>
  </si>
  <si>
    <t>Customer_Rating</t>
  </si>
  <si>
    <t>Payment_Mode</t>
  </si>
  <si>
    <t>Order_Status</t>
  </si>
  <si>
    <t>Order_Date</t>
  </si>
  <si>
    <t>Phone_Number</t>
  </si>
  <si>
    <t>Email</t>
  </si>
  <si>
    <t>Delivery_Time</t>
  </si>
  <si>
    <t>Mumbai</t>
  </si>
  <si>
    <t>Urban Bites</t>
  </si>
  <si>
    <t>Chinese</t>
  </si>
  <si>
    <t>UPI</t>
  </si>
  <si>
    <t>Delivered</t>
  </si>
  <si>
    <t>Sneha Joshi</t>
  </si>
  <si>
    <t>Delhi</t>
  </si>
  <si>
    <t>Foodiez</t>
  </si>
  <si>
    <t>Cash</t>
  </si>
  <si>
    <t>Cancelled</t>
  </si>
  <si>
    <t>FD00003</t>
  </si>
  <si>
    <t>Amit Sharma</t>
  </si>
  <si>
    <t>Hyderabad</t>
  </si>
  <si>
    <t>Tandoori Treat</t>
  </si>
  <si>
    <t>Desserts</t>
  </si>
  <si>
    <t>test@gmail.com</t>
  </si>
  <si>
    <t>Pizza Corner</t>
  </si>
  <si>
    <t>Indian</t>
  </si>
  <si>
    <t>Nagpur</t>
  </si>
  <si>
    <t>Wallet</t>
  </si>
  <si>
    <t>Burger Point</t>
  </si>
  <si>
    <t>Pending</t>
  </si>
  <si>
    <t>Bangalore</t>
  </si>
  <si>
    <t>fooduser@yahoo.com</t>
  </si>
  <si>
    <t>Pune</t>
  </si>
  <si>
    <t>Fast Food</t>
  </si>
  <si>
    <t>Rohan</t>
  </si>
  <si>
    <t>Pizza</t>
  </si>
  <si>
    <t>FD00014</t>
  </si>
  <si>
    <t>Card</t>
  </si>
  <si>
    <t>Spice Hub</t>
  </si>
  <si>
    <t>Anjali Verma</t>
  </si>
  <si>
    <t>FD00033</t>
  </si>
  <si>
    <t>9113585139</t>
  </si>
  <si>
    <t>FD00035</t>
  </si>
  <si>
    <t>FD00046</t>
  </si>
  <si>
    <t>9570423569</t>
  </si>
  <si>
    <t>FD00052</t>
  </si>
  <si>
    <t>FD00055</t>
  </si>
  <si>
    <t>FD00074</t>
  </si>
  <si>
    <t>9433297890</t>
  </si>
  <si>
    <t>FD00081</t>
  </si>
  <si>
    <t>9976928440</t>
  </si>
  <si>
    <t>FD00084</t>
  </si>
  <si>
    <t>FD00085</t>
  </si>
  <si>
    <t>FD00088</t>
  </si>
  <si>
    <t>9685698675</t>
  </si>
  <si>
    <t>FD00096</t>
  </si>
  <si>
    <t>FD00100</t>
  </si>
  <si>
    <t>9489256938</t>
  </si>
  <si>
    <t>FD00107</t>
  </si>
  <si>
    <t>9784987769</t>
  </si>
  <si>
    <t>FD00121</t>
  </si>
  <si>
    <t>FD00134</t>
  </si>
  <si>
    <t>FD00139</t>
  </si>
  <si>
    <t>9442426442</t>
  </si>
  <si>
    <t>FD00151</t>
  </si>
  <si>
    <t>FD00172</t>
  </si>
  <si>
    <t>FD00177</t>
  </si>
  <si>
    <t>FD00185</t>
  </si>
  <si>
    <t>FD00194</t>
  </si>
  <si>
    <t>9607042021</t>
  </si>
  <si>
    <t>FD00207</t>
  </si>
  <si>
    <t>9138474240</t>
  </si>
  <si>
    <t>FD00209</t>
  </si>
  <si>
    <t>9985358270</t>
  </si>
  <si>
    <t>FD00210</t>
  </si>
  <si>
    <t>FD00215</t>
  </si>
  <si>
    <t>9300764570</t>
  </si>
  <si>
    <t>FD00219</t>
  </si>
  <si>
    <t>FD00224</t>
  </si>
  <si>
    <t>FD00226</t>
  </si>
  <si>
    <t>9382646055</t>
  </si>
  <si>
    <t>FD00245</t>
  </si>
  <si>
    <t>9759091699</t>
  </si>
  <si>
    <t>FD00253</t>
  </si>
  <si>
    <t>FD00258</t>
  </si>
  <si>
    <t>9295858216</t>
  </si>
  <si>
    <t>FD00262</t>
  </si>
  <si>
    <t>9952970198</t>
  </si>
  <si>
    <t>FD00266</t>
  </si>
  <si>
    <t>9540024260</t>
  </si>
  <si>
    <t>FD00268</t>
  </si>
  <si>
    <t>9183682466</t>
  </si>
  <si>
    <t>FD00275</t>
  </si>
  <si>
    <t>FD00278</t>
  </si>
  <si>
    <t>FD00279</t>
  </si>
  <si>
    <t>9811871111</t>
  </si>
  <si>
    <t>FD00285</t>
  </si>
  <si>
    <t>FD00291</t>
  </si>
  <si>
    <t>FD00306</t>
  </si>
  <si>
    <t>FD00317</t>
  </si>
  <si>
    <t>9158331864</t>
  </si>
  <si>
    <t>FD00320</t>
  </si>
  <si>
    <t>FD00333</t>
  </si>
  <si>
    <t>9458946122</t>
  </si>
  <si>
    <t>FD00334</t>
  </si>
  <si>
    <t>FD00358</t>
  </si>
  <si>
    <t>9603673335</t>
  </si>
  <si>
    <t>FD00360</t>
  </si>
  <si>
    <t>FD00366</t>
  </si>
  <si>
    <t>9920301073</t>
  </si>
  <si>
    <t>FD00376</t>
  </si>
  <si>
    <t>9168270327</t>
  </si>
  <si>
    <t>FD00377</t>
  </si>
  <si>
    <t>FD00381</t>
  </si>
  <si>
    <t>FD00397</t>
  </si>
  <si>
    <t>FD00399</t>
  </si>
  <si>
    <t>FD00401</t>
  </si>
  <si>
    <t>9349006937</t>
  </si>
  <si>
    <t>FD00411</t>
  </si>
  <si>
    <t>9880083367</t>
  </si>
  <si>
    <t>FD00413</t>
  </si>
  <si>
    <t>FD00427</t>
  </si>
  <si>
    <t>FD00431</t>
  </si>
  <si>
    <t>9453502263</t>
  </si>
  <si>
    <t>FD00435</t>
  </si>
  <si>
    <t>9299633740</t>
  </si>
  <si>
    <t>FD00450</t>
  </si>
  <si>
    <t>9128817630</t>
  </si>
  <si>
    <t>FD00455</t>
  </si>
  <si>
    <t>FD00457</t>
  </si>
  <si>
    <t>FD00464</t>
  </si>
  <si>
    <t>9574981389</t>
  </si>
  <si>
    <t>FD00466</t>
  </si>
  <si>
    <t>FD00476</t>
  </si>
  <si>
    <t>FD00478</t>
  </si>
  <si>
    <t>9361301518</t>
  </si>
  <si>
    <t>FD00486</t>
  </si>
  <si>
    <t>9800935401</t>
  </si>
  <si>
    <t>FD00492</t>
  </si>
  <si>
    <t>FD00497</t>
  </si>
  <si>
    <t>FD00505</t>
  </si>
  <si>
    <t>FD00517</t>
  </si>
  <si>
    <t>9773648841</t>
  </si>
  <si>
    <t>FD00518</t>
  </si>
  <si>
    <t>9773757807</t>
  </si>
  <si>
    <t>FD00519</t>
  </si>
  <si>
    <t>9342541514</t>
  </si>
  <si>
    <t>FD00526</t>
  </si>
  <si>
    <t>9407915944</t>
  </si>
  <si>
    <t>FD00533</t>
  </si>
  <si>
    <t>FD00542</t>
  </si>
  <si>
    <t>FD00559</t>
  </si>
  <si>
    <t>FD00571</t>
  </si>
  <si>
    <t>FD00578</t>
  </si>
  <si>
    <t>9596936109</t>
  </si>
  <si>
    <t>FD00582</t>
  </si>
  <si>
    <t>FD00590</t>
  </si>
  <si>
    <t>9725747220</t>
  </si>
  <si>
    <t>FD00600</t>
  </si>
  <si>
    <t>9940123824</t>
  </si>
  <si>
    <t>FD00605</t>
  </si>
  <si>
    <t>9805512080</t>
  </si>
  <si>
    <t>FD00606</t>
  </si>
  <si>
    <t>FD00613</t>
  </si>
  <si>
    <t>9679637778</t>
  </si>
  <si>
    <t>FD00618</t>
  </si>
  <si>
    <t>FD00619</t>
  </si>
  <si>
    <t>FD00623</t>
  </si>
  <si>
    <t>9240867612</t>
  </si>
  <si>
    <t>FD00624</t>
  </si>
  <si>
    <t>FD00629</t>
  </si>
  <si>
    <t>9528858563</t>
  </si>
  <si>
    <t>FD00649</t>
  </si>
  <si>
    <t>FD00657</t>
  </si>
  <si>
    <t>9901834996</t>
  </si>
  <si>
    <t>FD00664</t>
  </si>
  <si>
    <t>FD00667</t>
  </si>
  <si>
    <t>9658096119</t>
  </si>
  <si>
    <t>FD00674</t>
  </si>
  <si>
    <t>FD00675</t>
  </si>
  <si>
    <t>9613569694</t>
  </si>
  <si>
    <t>FD00677</t>
  </si>
  <si>
    <t>FD00687</t>
  </si>
  <si>
    <t>9587529337</t>
  </si>
  <si>
    <t>FD00695</t>
  </si>
  <si>
    <t>9339121961</t>
  </si>
  <si>
    <t>FD00698</t>
  </si>
  <si>
    <t>FD00700</t>
  </si>
  <si>
    <t>FD00717</t>
  </si>
  <si>
    <t>FD00731</t>
  </si>
  <si>
    <t>9140835744</t>
  </si>
  <si>
    <t>FD00734</t>
  </si>
  <si>
    <t>9211446453</t>
  </si>
  <si>
    <t>FD00742</t>
  </si>
  <si>
    <t>FD00747</t>
  </si>
  <si>
    <t>FD00759</t>
  </si>
  <si>
    <t>9596808815</t>
  </si>
  <si>
    <t>FD00764</t>
  </si>
  <si>
    <t>FD00765</t>
  </si>
  <si>
    <t>FD00776</t>
  </si>
  <si>
    <t>FD00780</t>
  </si>
  <si>
    <t>9171964161</t>
  </si>
  <si>
    <t>FD00782</t>
  </si>
  <si>
    <t>9609889702</t>
  </si>
  <si>
    <t>FD00784</t>
  </si>
  <si>
    <t>FD00805</t>
  </si>
  <si>
    <t>FD00817</t>
  </si>
  <si>
    <t>FD00833</t>
  </si>
  <si>
    <t>9936085035</t>
  </si>
  <si>
    <t>FD00838</t>
  </si>
  <si>
    <t>9179883432</t>
  </si>
  <si>
    <t>FD00842</t>
  </si>
  <si>
    <t>9628981921</t>
  </si>
  <si>
    <t>FD00846</t>
  </si>
  <si>
    <t>9569709241</t>
  </si>
  <si>
    <t>FD00848</t>
  </si>
  <si>
    <t>FD00856</t>
  </si>
  <si>
    <t>FD00858</t>
  </si>
  <si>
    <t>FD00864</t>
  </si>
  <si>
    <t>9128187183</t>
  </si>
  <si>
    <t>FD00873</t>
  </si>
  <si>
    <t>9342362437</t>
  </si>
  <si>
    <t>FD00875</t>
  </si>
  <si>
    <t>FD00876</t>
  </si>
  <si>
    <t>FD00878</t>
  </si>
  <si>
    <t>9225104500</t>
  </si>
  <si>
    <t>FD00887</t>
  </si>
  <si>
    <t>FD00893</t>
  </si>
  <si>
    <t>9216730003</t>
  </si>
  <si>
    <t>FD00913</t>
  </si>
  <si>
    <t>FD00920</t>
  </si>
  <si>
    <t>FD00921</t>
  </si>
  <si>
    <t>FD00924</t>
  </si>
  <si>
    <t>FD00929</t>
  </si>
  <si>
    <t>9224081173</t>
  </si>
  <si>
    <t>FD00930</t>
  </si>
  <si>
    <t>9144937301</t>
  </si>
  <si>
    <t>FD00933</t>
  </si>
  <si>
    <t>FD00936</t>
  </si>
  <si>
    <t>FD00938</t>
  </si>
  <si>
    <t>FD00939</t>
  </si>
  <si>
    <t>9872871438</t>
  </si>
  <si>
    <t>FD00947</t>
  </si>
  <si>
    <t>9980268284</t>
  </si>
  <si>
    <t>FD00950</t>
  </si>
  <si>
    <t>9421645450</t>
  </si>
  <si>
    <t>FD00958</t>
  </si>
  <si>
    <t>FD00961</t>
  </si>
  <si>
    <t>FD00964</t>
  </si>
  <si>
    <t>FD00970</t>
  </si>
  <si>
    <t>9894319323</t>
  </si>
  <si>
    <t>FD00971</t>
  </si>
  <si>
    <t>FD00974</t>
  </si>
  <si>
    <t>9979876924</t>
  </si>
  <si>
    <t>FD00978</t>
  </si>
  <si>
    <t>FD00981</t>
  </si>
  <si>
    <t>9569799493</t>
  </si>
  <si>
    <t>FD00988</t>
  </si>
  <si>
    <t>FD00992</t>
  </si>
  <si>
    <t>9737425155</t>
  </si>
  <si>
    <t>FD00998</t>
  </si>
  <si>
    <t>9350794956</t>
  </si>
  <si>
    <t>FD01002</t>
  </si>
  <si>
    <t>FD01010</t>
  </si>
  <si>
    <t>9846146468</t>
  </si>
  <si>
    <t>FD01015</t>
  </si>
  <si>
    <t>FD01018</t>
  </si>
  <si>
    <t>FD01029</t>
  </si>
  <si>
    <t>9132199020</t>
  </si>
  <si>
    <t>FD01040</t>
  </si>
  <si>
    <t>9396116208</t>
  </si>
  <si>
    <t>FD01045</t>
  </si>
  <si>
    <t>FD01049</t>
  </si>
  <si>
    <t>9375878162</t>
  </si>
  <si>
    <t>FD01055</t>
  </si>
  <si>
    <t>FD01056</t>
  </si>
  <si>
    <t>FD01060</t>
  </si>
  <si>
    <t>FD01067</t>
  </si>
  <si>
    <t>FD01068</t>
  </si>
  <si>
    <t>9966877318</t>
  </si>
  <si>
    <t>FD01072</t>
  </si>
  <si>
    <t>FD01073</t>
  </si>
  <si>
    <t>FD01077</t>
  </si>
  <si>
    <t>FD01078</t>
  </si>
  <si>
    <t>9998906236</t>
  </si>
  <si>
    <t>FD01086</t>
  </si>
  <si>
    <t>9667316833</t>
  </si>
  <si>
    <t>FD01101</t>
  </si>
  <si>
    <t>FD01117</t>
  </si>
  <si>
    <t>FD01130</t>
  </si>
  <si>
    <t>9215837729</t>
  </si>
  <si>
    <t>FD01132</t>
  </si>
  <si>
    <t>9610882151</t>
  </si>
  <si>
    <t>FD01134</t>
  </si>
  <si>
    <t>9439531501</t>
  </si>
  <si>
    <t>FD01135</t>
  </si>
  <si>
    <t>9297211078</t>
  </si>
  <si>
    <t>FD01137</t>
  </si>
  <si>
    <t>9727436866</t>
  </si>
  <si>
    <t>FD01146</t>
  </si>
  <si>
    <t>9782816023</t>
  </si>
  <si>
    <t>FD01147</t>
  </si>
  <si>
    <t>FD01148</t>
  </si>
  <si>
    <t>FD01151</t>
  </si>
  <si>
    <t>9660892225</t>
  </si>
  <si>
    <t>FD01159</t>
  </si>
  <si>
    <t>9729949812</t>
  </si>
  <si>
    <t>FD01160</t>
  </si>
  <si>
    <t>9188327860</t>
  </si>
  <si>
    <t>FD01164</t>
  </si>
  <si>
    <t>9867788616</t>
  </si>
  <si>
    <t>FD01165</t>
  </si>
  <si>
    <t>FD01183</t>
  </si>
  <si>
    <t>9165015091</t>
  </si>
  <si>
    <t>FD01188</t>
  </si>
  <si>
    <t>FD01190</t>
  </si>
  <si>
    <t>9800053921</t>
  </si>
  <si>
    <t>FD01193</t>
  </si>
  <si>
    <t>9398344738</t>
  </si>
  <si>
    <t>FD01194</t>
  </si>
  <si>
    <t>FD01210</t>
  </si>
  <si>
    <t>9430339309</t>
  </si>
  <si>
    <t>FD01211</t>
  </si>
  <si>
    <t>FD01219</t>
  </si>
  <si>
    <t>9713108415</t>
  </si>
  <si>
    <t>FD01242</t>
  </si>
  <si>
    <t>FD01251</t>
  </si>
  <si>
    <t>9358738308</t>
  </si>
  <si>
    <t>FD01269</t>
  </si>
  <si>
    <t>FD01276</t>
  </si>
  <si>
    <t>9344789978</t>
  </si>
  <si>
    <t>FD01281</t>
  </si>
  <si>
    <t>9562732680</t>
  </si>
  <si>
    <t>FD01292</t>
  </si>
  <si>
    <t>FD01299</t>
  </si>
  <si>
    <t>FD01307</t>
  </si>
  <si>
    <t>9182594982</t>
  </si>
  <si>
    <t>FD01313</t>
  </si>
  <si>
    <t>FD01322</t>
  </si>
  <si>
    <t>9202655932</t>
  </si>
  <si>
    <t>FD01342</t>
  </si>
  <si>
    <t>9227743490</t>
  </si>
  <si>
    <t>FD01346</t>
  </si>
  <si>
    <t>9511008592</t>
  </si>
  <si>
    <t>FD01347</t>
  </si>
  <si>
    <t>9935402644</t>
  </si>
  <si>
    <t>FD01351</t>
  </si>
  <si>
    <t>FD01355</t>
  </si>
  <si>
    <t>9115862045</t>
  </si>
  <si>
    <t>FD01362</t>
  </si>
  <si>
    <t>FD01372</t>
  </si>
  <si>
    <t>FD01379</t>
  </si>
  <si>
    <t>9172331127</t>
  </si>
  <si>
    <t>FD01385</t>
  </si>
  <si>
    <t>9619404179</t>
  </si>
  <si>
    <t>FD01390</t>
  </si>
  <si>
    <t>FD01396</t>
  </si>
  <si>
    <t>9861110278</t>
  </si>
  <si>
    <t>FD01401</t>
  </si>
  <si>
    <t>9509513770</t>
  </si>
  <si>
    <t>FD01404</t>
  </si>
  <si>
    <t>9870740196</t>
  </si>
  <si>
    <t>FD01423</t>
  </si>
  <si>
    <t>9727709808</t>
  </si>
  <si>
    <t>FD01424</t>
  </si>
  <si>
    <t>FD01434</t>
  </si>
  <si>
    <t>FD01437</t>
  </si>
  <si>
    <t>9355077060</t>
  </si>
  <si>
    <t>FD01439</t>
  </si>
  <si>
    <t>9106893167</t>
  </si>
  <si>
    <t>FD01447</t>
  </si>
  <si>
    <t>9847886206</t>
  </si>
  <si>
    <t>FD01455</t>
  </si>
  <si>
    <t>FD01456</t>
  </si>
  <si>
    <t>FD01468</t>
  </si>
  <si>
    <t>9590684068</t>
  </si>
  <si>
    <t>FD01474</t>
  </si>
  <si>
    <t>FD01479</t>
  </si>
  <si>
    <t>FD01487</t>
  </si>
  <si>
    <t>FD01495</t>
  </si>
  <si>
    <t>Dashboard Components</t>
  </si>
  <si>
    <t>KPI Cards</t>
  </si>
  <si>
    <t>Monthly Sales Trend</t>
  </si>
  <si>
    <t>City-wise Orders Chart</t>
  </si>
  <si>
    <t>Restaurant Performance</t>
  </si>
  <si>
    <t>Order Status Analysis</t>
  </si>
  <si>
    <t>Payment Method Breakdown</t>
  </si>
  <si>
    <t>Top Customers</t>
  </si>
  <si>
    <t>Delivery Time Analysis</t>
  </si>
  <si>
    <t>Customer_name</t>
  </si>
  <si>
    <t>Priya Patil</t>
  </si>
  <si>
    <t>Neha Kale</t>
  </si>
  <si>
    <t>Rahul Singh</t>
  </si>
  <si>
    <t>8242911821</t>
  </si>
  <si>
    <t>9181106786</t>
  </si>
  <si>
    <t>7043598698</t>
  </si>
  <si>
    <t>8643015259</t>
  </si>
  <si>
    <t>9489250532</t>
  </si>
  <si>
    <t>9450982005</t>
  </si>
  <si>
    <t>7290166087</t>
  </si>
  <si>
    <t>8297484349</t>
  </si>
  <si>
    <t>7065857791</t>
  </si>
  <si>
    <t>8377246344</t>
  </si>
  <si>
    <t>7408810792</t>
  </si>
  <si>
    <t>7999109703</t>
  </si>
  <si>
    <t>7730596287</t>
  </si>
  <si>
    <t>8699916883</t>
  </si>
  <si>
    <t>9484872186</t>
  </si>
  <si>
    <t>7281199333</t>
  </si>
  <si>
    <t>8533897596</t>
  </si>
  <si>
    <t>7343875431</t>
  </si>
  <si>
    <t>9997331061</t>
  </si>
  <si>
    <t>9074582277</t>
  </si>
  <si>
    <t>9883379418</t>
  </si>
  <si>
    <t>9699968591</t>
  </si>
  <si>
    <t>8046645121</t>
  </si>
  <si>
    <t>8216751436</t>
  </si>
  <si>
    <t>7473017075</t>
  </si>
  <si>
    <t>9998458008</t>
  </si>
  <si>
    <t>9509661989</t>
  </si>
  <si>
    <t>8904409842</t>
  </si>
  <si>
    <t>7803982387</t>
  </si>
  <si>
    <t>9688903570</t>
  </si>
  <si>
    <t>7558617715</t>
  </si>
  <si>
    <t>8909446514</t>
  </si>
  <si>
    <t>8475998631</t>
  </si>
  <si>
    <t>8537971916</t>
  </si>
  <si>
    <t>9617328226</t>
  </si>
  <si>
    <t>8774365207</t>
  </si>
  <si>
    <t>7111281996</t>
  </si>
  <si>
    <t>7059701167</t>
  </si>
  <si>
    <t>8176226755</t>
  </si>
  <si>
    <t>7383236692</t>
  </si>
  <si>
    <t>8442364344</t>
  </si>
  <si>
    <t>7205446492</t>
  </si>
  <si>
    <t>7886084049</t>
  </si>
  <si>
    <t>8790556687</t>
  </si>
  <si>
    <t>8043992060</t>
  </si>
  <si>
    <t>8920593054</t>
  </si>
  <si>
    <t>8150724227</t>
  </si>
  <si>
    <t>8177034680</t>
  </si>
  <si>
    <t>7551913574</t>
  </si>
  <si>
    <t>8992957118</t>
  </si>
  <si>
    <t>8191752750</t>
  </si>
  <si>
    <t>8889973756</t>
  </si>
  <si>
    <t>7146518687</t>
  </si>
  <si>
    <t>7542145861</t>
  </si>
  <si>
    <t>7572763028</t>
  </si>
  <si>
    <t>7416907897</t>
  </si>
  <si>
    <t>7487587350</t>
  </si>
  <si>
    <t>9245325505</t>
  </si>
  <si>
    <t>7890151602</t>
  </si>
  <si>
    <t>8492231065</t>
  </si>
  <si>
    <t>8940148119</t>
  </si>
  <si>
    <t>7640076157</t>
  </si>
  <si>
    <t>9550567701</t>
  </si>
  <si>
    <t>7573321170</t>
  </si>
  <si>
    <t>9949610638</t>
  </si>
  <si>
    <t>7919754787</t>
  </si>
  <si>
    <t>9667424233</t>
  </si>
  <si>
    <t>7113284701</t>
  </si>
  <si>
    <t>9707344826</t>
  </si>
  <si>
    <t>8282692726</t>
  </si>
  <si>
    <t>9824704907</t>
  </si>
  <si>
    <t>9814904766</t>
  </si>
  <si>
    <t>7802277237</t>
  </si>
  <si>
    <t>7073394692</t>
  </si>
  <si>
    <t>8226023307</t>
  </si>
  <si>
    <t>8771986377</t>
  </si>
  <si>
    <t>8983094045</t>
  </si>
  <si>
    <t>8809249924</t>
  </si>
  <si>
    <t>7561808049</t>
  </si>
  <si>
    <t>9755288794</t>
  </si>
  <si>
    <t>7795059757</t>
  </si>
  <si>
    <t>8868816120</t>
  </si>
  <si>
    <t>8191570618</t>
  </si>
  <si>
    <t>9694244911</t>
  </si>
  <si>
    <t>9499844046</t>
  </si>
  <si>
    <t>9585321704</t>
  </si>
  <si>
    <t>9515154827</t>
  </si>
  <si>
    <t>7585663550</t>
  </si>
  <si>
    <t>9000665392</t>
  </si>
  <si>
    <t>9085068274</t>
  </si>
  <si>
    <t>8105432905</t>
  </si>
  <si>
    <t>8540573515</t>
  </si>
  <si>
    <t>8599830142</t>
  </si>
  <si>
    <t>9028519189</t>
  </si>
  <si>
    <t>9280325415</t>
  </si>
  <si>
    <t>8855178633</t>
  </si>
  <si>
    <t>7641203428</t>
  </si>
  <si>
    <t>7518035199</t>
  </si>
  <si>
    <t>8772890675</t>
  </si>
  <si>
    <t>9068531753</t>
  </si>
  <si>
    <t>9302386862</t>
  </si>
  <si>
    <t>9472177752</t>
  </si>
  <si>
    <t>8154182285</t>
  </si>
  <si>
    <t>7656110160</t>
  </si>
  <si>
    <t>9090954950</t>
  </si>
  <si>
    <t>9502453390</t>
  </si>
  <si>
    <t>8994416437</t>
  </si>
  <si>
    <t>8524504022</t>
  </si>
  <si>
    <t>8665739683</t>
  </si>
  <si>
    <t>9338044925</t>
  </si>
  <si>
    <t>8956905265</t>
  </si>
  <si>
    <t>8703387567</t>
  </si>
  <si>
    <t>7226436126</t>
  </si>
  <si>
    <t>9625423106</t>
  </si>
  <si>
    <t>9039457259</t>
  </si>
  <si>
    <t>9023722238</t>
  </si>
  <si>
    <t>8298997122</t>
  </si>
  <si>
    <t>9162334809</t>
  </si>
  <si>
    <t>Row Labels</t>
  </si>
  <si>
    <t>Grand Total</t>
  </si>
  <si>
    <t>Jan</t>
  </si>
  <si>
    <t>Feb</t>
  </si>
  <si>
    <t>Mar</t>
  </si>
  <si>
    <t>Apr</t>
  </si>
  <si>
    <t>May</t>
  </si>
  <si>
    <t>Jun</t>
  </si>
  <si>
    <t>Jul</t>
  </si>
  <si>
    <t>Aug</t>
  </si>
  <si>
    <t>Sep</t>
  </si>
  <si>
    <t>Oct</t>
  </si>
  <si>
    <t>Nov</t>
  </si>
  <si>
    <t>Dec</t>
  </si>
  <si>
    <t>Sum of Order_Amount</t>
  </si>
  <si>
    <t>Count of Order_Status</t>
  </si>
  <si>
    <t>Count of Payment_Mode</t>
  </si>
  <si>
    <t>Count of Order_Amount</t>
  </si>
  <si>
    <t>Average of Customer_Rating</t>
  </si>
  <si>
    <t>Average of Delivery_Time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</si>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</sst>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CCFFFF"/>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0" xfId="0" applyFill="1"/>
    <xf numFmtId="2" fontId="0" fillId="2" borderId="0" xfId="0" applyNumberFormat="1" applyFill="1"/>
    <xf numFmtId="0" fontId="0" fillId="0" borderId="0" xfId="0" applyNumberFormat="1"/>
  </cellXfs>
  <cellStyles count="1">
    <cellStyle name="Normal" xfId="0" builtinId="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[Food_Delivery_Messy_Excel_Project.xlsx]Monthly sales!PivotTable1</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chemeClr val="tx1"/>
                </a:solidFill>
              </a:rPr>
              <a:t>Monthly Sales of 2025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5605437380029"/>
          <c:y val="0.23087744240303296"/>
          <c:w val="0.69995201159556553"/>
          <c:h val="0.53774387576552929"/>
        </c:manualLayout>
      </c:layout>
      <c:lineChart>
        <c:grouping val="standard"/>
        <c:varyColors val="0"/>
        <c:ser>
          <c:idx val="0"/>
          <c:order val="0"/>
          <c:tx>
            <c:strRef>
              <c:f>'Monthly sales'!$C$7</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sales'!$B$8:$B$20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sales'!$C$8:$C$20</c:f>
              <c:numCache>
                <c:formatCode>0.00</c:formatCode>
                <c:ptCount val="12"/>
                <c:pt idx="0">
                  <c:v>83677</c:v>
                </c:pt>
                <c:pt idx="1">
                  <c:v>66130</c:v>
                </c:pt>
                <c:pt idx="2">
                  <c:v>102323</c:v>
                </c:pt>
                <c:pt idx="3">
                  <c:v>82101</c:v>
                </c:pt>
                <c:pt idx="4">
                  <c:v>1456</c:v>
                </c:pt>
                <c:pt idx="5">
                  <c:v>3106</c:v>
                </c:pt>
                <c:pt idx="6">
                  <c:v>5570</c:v>
                </c:pt>
                <c:pt idx="7">
                  <c:v>1550</c:v>
                </c:pt>
                <c:pt idx="8">
                  <c:v>7800</c:v>
                </c:pt>
                <c:pt idx="9">
                  <c:v>8340</c:v>
                </c:pt>
                <c:pt idx="10">
                  <c:v>4193</c:v>
                </c:pt>
                <c:pt idx="11">
                  <c:v>3307</c:v>
                </c:pt>
              </c:numCache>
            </c:numRef>
          </c:val>
          <c:smooth val="0"/>
          <c:extLst>
            <c:ext xmlns:c16="http://schemas.microsoft.com/office/drawing/2014/chart" uri="{C3380CC4-5D6E-409C-BE32-E72D297353CC}">
              <c16:uniqueId val="{00000001-B411-429B-9684-356CDC6E1EF8}"/>
            </c:ext>
          </c:extLst>
        </c:ser>
        <c:dLbls>
          <c:showLegendKey val="0"/>
          <c:showVal val="0"/>
          <c:showCatName val="0"/>
          <c:showSerName val="0"/>
          <c:showPercent val="0"/>
          <c:showBubbleSize val="0"/>
        </c:dLbls>
        <c:marker val="1"/>
        <c:smooth val="0"/>
        <c:axId val="1523307711"/>
        <c:axId val="1523309631"/>
      </c:lineChart>
      <c:catAx>
        <c:axId val="1523307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309631"/>
        <c:crosses val="autoZero"/>
        <c:auto val="1"/>
        <c:lblAlgn val="ctr"/>
        <c:lblOffset val="100"/>
        <c:noMultiLvlLbl val="0"/>
      </c:catAx>
      <c:valAx>
        <c:axId val="1523309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30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[Food_Delivery_Messy_Excel_Project.xlsx]citywise order count!PivotTable1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Citywise</a:t>
            </a:r>
            <a:r>
              <a:rPr lang="en-US" sz="1400" b="1" baseline="0">
                <a:solidFill>
                  <a:schemeClr val="tx1"/>
                </a:solidFill>
              </a:rPr>
              <a:t> Orders </a:t>
            </a:r>
            <a:endParaRPr lang="en-US" sz="1400" b="1">
              <a:solidFill>
                <a:schemeClr val="tx1"/>
              </a:solidFill>
            </a:endParaRPr>
          </a:p>
        </c:rich>
      </c:tx>
      <c:layout>
        <c:manualLayout>
          <c:xMode val="edge"/>
          <c:yMode val="edge"/>
          <c:x val="0.32833863482296499"/>
          <c:y val="6.11620795107033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'citywise order count'!$C$5</c:f>
              <c:strCache>
                <c:ptCount val="1"/>
                <c:pt idx="0">
                  <c:v>Total</c:v>
                </c:pt>
              </c:strCache>
            </c:strRef>
          </c:tx>
          <c:spPr>
            <a:solidFill>
              <a:schemeClr val="accent6"/>
            </a:solidFill>
            <a:ln>
              <a:noFill/>
            </a:ln>
            <a:effectLst/>
          </c:spPr>
          <c:invertIfNegative val="0"/>
          <c:cat>
            <c:strRef>
              <c:f>'citywise order count'!$B$6:$B$12</c:f>
              <c:strCache>
                <c:ptCount val="6"/>
                <c:pt idx="0">
                  <c:v>Bangalore</c:v>
                </c:pt>
                <c:pt idx="1">
                  <c:v>Delhi</c:v>
                </c:pt>
                <c:pt idx="2">
                  <c:v>Hyderabad</c:v>
                </c:pt>
                <c:pt idx="3">
                  <c:v>Mumbai</c:v>
                </c:pt>
                <c:pt idx="4">
                  <c:v>Nagpur</c:v>
                </c:pt>
                <c:pt idx="5">
                  <c:v>Pune</c:v>
                </c:pt>
              </c:strCache>
            </c:strRef>
          </c:cat>
          <c:val>
            <c:numRef>
              <c:f>'citywise order count'!$C$6:$C$12</c:f>
              <c:numCache>
                <c:formatCode>General</c:formatCode>
                <c:ptCount val="6"/>
                <c:pt idx="0">
                  <c:v>45</c:v>
                </c:pt>
                <c:pt idx="1">
                  <c:v>36</c:v>
                </c:pt>
                <c:pt idx="2">
                  <c:v>31</c:v>
                </c:pt>
                <c:pt idx="3">
                  <c:v>46</c:v>
                </c:pt>
                <c:pt idx="4">
                  <c:v>33</c:v>
                </c:pt>
                <c:pt idx="5">
                  <c:v>39</c:v>
                </c:pt>
              </c:numCache>
            </c:numRef>
          </c:val>
          <c:extLst>
            <c:ext xmlns:c16="http://schemas.microsoft.com/office/drawing/2014/chart" uri="{C3380CC4-5D6E-409C-BE32-E72D297353CC}">
              <c16:uniqueId val="{00000000-5C4A-482E-ABF2-C2B17327977A}"/>
            </c:ext>
          </c:extLst>
        </c:ser>
        <c:dLbls>
          <c:showLegendKey val="0"/>
          <c:showVal val="0"/>
          <c:showCatName val="0"/>
          <c:showSerName val="0"/>
          <c:showPercent val="0"/>
          <c:showBubbleSize val="0"/>
        </c:dLbls>
        <c:gapWidth val="219"/>
        <c:overlap val="-27"/>
        <c:axId val="299336288"/>
        <c:axId val="299327168"/>
      </c:barChart>
      <c:catAx>
        <c:axId val="2993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327168"/>
        <c:crosses val="autoZero"/>
        <c:auto val="1"/>
        <c:lblAlgn val="ctr"/>
        <c:lblOffset val="100"/>
        <c:noMultiLvlLbl val="0"/>
      </c:catAx>
      <c:valAx>
        <c:axId val="29932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3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[Food_Delivery_Messy_Excel_Project.xlsx]ratings!PivotTable3</c:name>
    <c:fmtId val="3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tx1"/>
                </a:solidFill>
              </a:rPr>
              <a:t>Customer</a:t>
            </a:r>
            <a:r>
              <a:rPr lang="en-US" sz="1400"/>
              <a:t> </a:t>
            </a:r>
            <a:r>
              <a:rPr lang="en-US" sz="1400">
                <a:solidFill>
                  <a:schemeClr val="tx1"/>
                </a:solidFill>
              </a:rPr>
              <a:t>Ratings</a:t>
            </a:r>
          </a:p>
        </c:rich>
      </c:tx>
      <c:layout>
        <c:manualLayout>
          <c:xMode val="edge"/>
          <c:yMode val="edge"/>
          <c:x val="0.31811632437697868"/>
          <c:y val="4.990540244969378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27109248465037"/>
          <c:y val="0.18994736842105264"/>
          <c:w val="0.74767619957614295"/>
          <c:h val="0.68269332780770819"/>
        </c:manualLayout>
      </c:layout>
      <c:barChart>
        <c:barDir val="bar"/>
        <c:grouping val="clustered"/>
        <c:varyColors val="0"/>
        <c:ser>
          <c:idx val="0"/>
          <c:order val="0"/>
          <c:tx>
            <c:strRef>
              <c:f>ratings!$B$3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ratings!$A$4:$A$10</c:f>
              <c:strCache>
                <c:ptCount val="6"/>
                <c:pt idx="0">
                  <c:v>Burger Point</c:v>
                </c:pt>
                <c:pt idx="1">
                  <c:v>Foodiez</c:v>
                </c:pt>
                <c:pt idx="2">
                  <c:v>Pizza Corner</c:v>
                </c:pt>
                <c:pt idx="3">
                  <c:v>Spice Hub</c:v>
                </c:pt>
                <c:pt idx="4">
                  <c:v>Tandoori Treat</c:v>
                </c:pt>
                <c:pt idx="5">
                  <c:v>Urban Bites</c:v>
                </c:pt>
              </c:strCache>
            </c:strRef>
          </c:cat>
          <c:val>
            <c:numRef>
              <c:f>ratings!$B$4:$B$10</c:f>
              <c:numCache>
                <c:formatCode>0.00</c:formatCode>
                <c:ptCount val="6"/>
                <c:pt idx="0">
                  <c:v>3.6</c:v>
                </c:pt>
                <c:pt idx="1">
                  <c:v>3.0625</c:v>
                </c:pt>
                <c:pt idx="2">
                  <c:v>3.3103448275862069</c:v>
                </c:pt>
                <c:pt idx="3">
                  <c:v>3.5714285714285716</c:v>
                </c:pt>
                <c:pt idx="4">
                  <c:v>3.5208333333333335</c:v>
                </c:pt>
                <c:pt idx="5">
                  <c:v>3.392156862745098</c:v>
                </c:pt>
              </c:numCache>
            </c:numRef>
          </c:val>
          <c:extLst>
            <c:ext xmlns:c16="http://schemas.microsoft.com/office/drawing/2014/chart" uri="{C3380CC4-5D6E-409C-BE32-E72D297353CC}">
              <c16:uniqueId val="{00000000-B32F-439D-80FA-AE139D35D4DB}"/>
            </c:ext>
          </c:extLst>
        </c:ser>
        <c:dLbls>
          <c:dLblPos val="outEnd"/>
          <c:showLegendKey val="0"/>
          <c:showVal val="1"/>
          <c:showCatName val="0"/>
          <c:showSerName val="0"/>
          <c:showPercent val="0"/>
          <c:showBubbleSize val="0"/>
        </c:dLbls>
        <c:gapWidth val="100"/>
        <c:axId val="1537238415"/>
        <c:axId val="1344752047"/>
      </c:barChart>
      <c:catAx>
        <c:axId val="15372384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4752047"/>
        <c:crosses val="autoZero"/>
        <c:auto val="1"/>
        <c:lblAlgn val="ctr"/>
        <c:lblOffset val="100"/>
        <c:noMultiLvlLbl val="0"/>
      </c:catAx>
      <c:valAx>
        <c:axId val="134475204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723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[Food_Delivery_Messy_Excel_Project.xlsx]pay mode!PivotTable5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Payment</a:t>
            </a:r>
            <a:r>
              <a:rPr lang="en-IN" sz="1400" b="1" baseline="0">
                <a:solidFill>
                  <a:schemeClr val="tx1"/>
                </a:solidFill>
              </a:rPr>
              <a:t> Mode</a:t>
            </a:r>
            <a:endParaRPr lang="en-IN" sz="1400" b="1">
              <a:solidFill>
                <a:schemeClr val="tx1"/>
              </a:solidFill>
            </a:endParaRPr>
          </a:p>
        </c:rich>
      </c:tx>
      <c:layout>
        <c:manualLayout>
          <c:xMode val="edge"/>
          <c:yMode val="edge"/>
          <c:x val="0.25336429100208629"/>
          <c:y val="3.29502981738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B5B512-D20E-4F03-AFCE-8B6F81C60E7B}" type="CATEGORYNAM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baseline="0">
                    <a:solidFill>
                      <a:schemeClr val="tx1"/>
                    </a:solidFill>
                  </a:rPr>
                  <a:t>
</a:t>
                </a:r>
                <a:fld id="{94D94624-BE92-47F1-8CEE-8C7A1E5C70D9}" type="PERCENTAGE">
                  <a:rPr lang="en-US" sz="1100" b="1" baseline="0">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5"/>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079809-EA16-4B9B-9041-43E813D617C2}" type="CATEGORYNAM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baseline="0">
                    <a:solidFill>
                      <a:schemeClr val="tx1"/>
                    </a:solidFill>
                  </a:rPr>
                  <a:t>
</a:t>
                </a:r>
                <a:fld id="{0D122D65-B332-4460-91B6-C1B34DE3DD5F}" type="PERCENTAGE">
                  <a:rPr lang="en-US" sz="1100" b="1" baseline="0">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4"/>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3C73B0-384E-4D34-B18B-89FAD0905815}" type="CATEGORYNAM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baseline="0">
                    <a:solidFill>
                      <a:schemeClr val="tx1"/>
                    </a:solidFill>
                  </a:rPr>
                  <a:t>
</a:t>
                </a:r>
                <a:fld id="{CC7D44F7-A208-4AFE-ADD9-ACB365D193D4}" type="PERCENTAGE">
                  <a:rPr lang="en-US" sz="1100" b="1" baseline="0">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6">
              <a:lumMod val="60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EBFDF3-316D-4BC2-8019-40D5C70AA997}" type="CATEGORYNAM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tx1"/>
                    </a:solidFill>
                  </a:rPr>
                  <a:t>
</a:t>
                </a:r>
                <a:fld id="{BD46B318-D359-49E6-8C23-04CDBCA33621}" type="PERCENTAGE">
                  <a:rPr lang="en-US" b="1" baseline="0">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B5B512-D20E-4F03-AFCE-8B6F81C60E7B}" type="CATEGORYNAM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baseline="0">
                    <a:solidFill>
                      <a:schemeClr val="tx1"/>
                    </a:solidFill>
                  </a:rPr>
                  <a:t>
</a:t>
                </a:r>
                <a:fld id="{94D94624-BE92-47F1-8CEE-8C7A1E5C70D9}" type="PERCENTAGE">
                  <a:rPr lang="en-US" sz="1100" b="1" baseline="0">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079809-EA16-4B9B-9041-43E813D617C2}" type="CATEGORYNAM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baseline="0">
                    <a:solidFill>
                      <a:schemeClr val="tx1"/>
                    </a:solidFill>
                  </a:rPr>
                  <a:t>
</a:t>
                </a:r>
                <a:fld id="{0D122D65-B332-4460-91B6-C1B34DE3DD5F}" type="PERCENTAGE">
                  <a:rPr lang="en-US" sz="1100" b="1" baseline="0">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3C73B0-384E-4D34-B18B-89FAD0905815}" type="CATEGORYNAM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baseline="0">
                    <a:solidFill>
                      <a:schemeClr val="tx1"/>
                    </a:solidFill>
                  </a:rPr>
                  <a:t>
</a:t>
                </a:r>
                <a:fld id="{CC7D44F7-A208-4AFE-ADD9-ACB365D193D4}" type="PERCENTAGE">
                  <a:rPr lang="en-US" sz="1100" b="1" baseline="0">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EBFDF3-316D-4BC2-8019-40D5C70AA997}" type="CATEGORYNAME">
                  <a:rPr lang="en-US" sz="1100" b="1">
                    <a:solidFill>
                      <a:schemeClr val="tx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tx1"/>
                    </a:solidFill>
                  </a:rPr>
                  <a:t>
</a:t>
                </a:r>
                <a:fld id="{BD46B318-D359-49E6-8C23-04CDBCA33621}" type="PERCENTAGE">
                  <a:rPr lang="en-US" b="1" baseline="0">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B5B512-D20E-4F03-AFCE-8B6F81C60E7B}" type="CATEGORYNAME">
                  <a:rPr lang="en-US" sz="1100" b="1">
                    <a:solidFill>
                      <a:schemeClr val="tx1"/>
                    </a:solidFill>
                  </a:rPr>
                  <a:pPr>
                    <a:defRPr/>
                  </a:pPr>
                  <a:t>[CATEGORY NAME]</a:t>
                </a:fld>
                <a:r>
                  <a:rPr lang="en-US" sz="1100" b="1" baseline="0">
                    <a:solidFill>
                      <a:schemeClr val="tx1"/>
                    </a:solidFill>
                  </a:rPr>
                  <a:t>
</a:t>
                </a:r>
                <a:fld id="{94D94624-BE92-47F1-8CEE-8C7A1E5C70D9}"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079809-EA16-4B9B-9041-43E813D617C2}" type="CATEGORYNAME">
                  <a:rPr lang="en-US" sz="1100" b="1">
                    <a:solidFill>
                      <a:schemeClr val="tx1"/>
                    </a:solidFill>
                  </a:rPr>
                  <a:pPr>
                    <a:defRPr/>
                  </a:pPr>
                  <a:t>[CATEGORY NAME]</a:t>
                </a:fld>
                <a:r>
                  <a:rPr lang="en-US" sz="1100" b="1" baseline="0">
                    <a:solidFill>
                      <a:schemeClr val="tx1"/>
                    </a:solidFill>
                  </a:rPr>
                  <a:t>
</a:t>
                </a:r>
                <a:fld id="{0D122D65-B332-4460-91B6-C1B34DE3DD5F}"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3C73B0-384E-4D34-B18B-89FAD0905815}" type="CATEGORYNAME">
                  <a:rPr lang="en-US" sz="1100" b="1">
                    <a:solidFill>
                      <a:schemeClr val="tx1"/>
                    </a:solidFill>
                  </a:rPr>
                  <a:pPr>
                    <a:defRPr/>
                  </a:pPr>
                  <a:t>[CATEGORY NAME]</a:t>
                </a:fld>
                <a:r>
                  <a:rPr lang="en-US" sz="1100" b="1" baseline="0">
                    <a:solidFill>
                      <a:schemeClr val="tx1"/>
                    </a:solidFill>
                  </a:rPr>
                  <a:t>
</a:t>
                </a:r>
                <a:fld id="{CC7D44F7-A208-4AFE-ADD9-ACB365D193D4}"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EBFDF3-316D-4BC2-8019-40D5C70AA997}" type="CATEGORYNAME">
                  <a:rPr lang="en-US" sz="1100" b="1">
                    <a:solidFill>
                      <a:schemeClr val="tx1"/>
                    </a:solidFill>
                  </a:rPr>
                  <a:pPr>
                    <a:defRPr/>
                  </a:pPr>
                  <a:t>[CATEGORY NAME]</a:t>
                </a:fld>
                <a:r>
                  <a:rPr lang="en-US" b="1" baseline="0">
                    <a:solidFill>
                      <a:schemeClr val="tx1"/>
                    </a:solidFill>
                  </a:rPr>
                  <a:t>
</a:t>
                </a:r>
                <a:fld id="{BD46B318-D359-49E6-8C23-04CDBCA33621}"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275058275058272E-2"/>
          <c:y val="0.1495532721688061"/>
          <c:w val="0.8723776223776224"/>
          <c:h val="0.803856300046357"/>
        </c:manualLayout>
      </c:layout>
      <c:pie3DChart>
        <c:varyColors val="1"/>
        <c:ser>
          <c:idx val="0"/>
          <c:order val="0"/>
          <c:tx>
            <c:strRef>
              <c:f>'pay mode'!$B$3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9F-4CBD-B7BC-D6D989A9829E}"/>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9F-4CBD-B7BC-D6D989A9829E}"/>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9F-4CBD-B7BC-D6D989A9829E}"/>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49F-4CBD-B7BC-D6D989A9829E}"/>
              </c:ext>
            </c:extLst>
          </c:dPt>
          <c:dLbls>
            <c:dLbl>
              <c:idx val="0"/>
              <c:tx>
                <c:rich>
                  <a:bodyPr/>
                  <a:lstStyle/>
                  <a:p>
                    <a:fld id="{09B5B512-D20E-4F03-AFCE-8B6F81C60E7B}" type="CATEGORYNAME">
                      <a:rPr lang="en-US" sz="1100" b="1">
                        <a:solidFill>
                          <a:schemeClr val="tx1"/>
                        </a:solidFill>
                      </a:rPr>
                      <a:pPr/>
                      <a:t>[CATEGORY NAME]</a:t>
                    </a:fld>
                    <a:r>
                      <a:rPr lang="en-US" sz="1100" b="1" baseline="0">
                        <a:solidFill>
                          <a:schemeClr val="tx1"/>
                        </a:solidFill>
                      </a:rPr>
                      <a:t>
</a:t>
                    </a:r>
                    <a:fld id="{94D94624-BE92-47F1-8CEE-8C7A1E5C70D9}" type="PERCENTAGE">
                      <a:rPr lang="en-US" sz="1100" b="1" baseline="0">
                        <a:solidFill>
                          <a:schemeClr val="tx1"/>
                        </a:solidFill>
                      </a:rPr>
                      <a:pPr/>
                      <a:t>[PERCENTAGE]</a:t>
                    </a:fld>
                    <a:endParaRPr lang="en-US" sz="1100"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49F-4CBD-B7BC-D6D989A9829E}"/>
                </c:ext>
              </c:extLst>
            </c:dLbl>
            <c:dLbl>
              <c:idx val="1"/>
              <c:tx>
                <c:rich>
                  <a:bodyPr/>
                  <a:lstStyle/>
                  <a:p>
                    <a:fld id="{96079809-EA16-4B9B-9041-43E813D617C2}" type="CATEGORYNAME">
                      <a:rPr lang="en-US" sz="1100" b="1">
                        <a:solidFill>
                          <a:schemeClr val="tx1"/>
                        </a:solidFill>
                      </a:rPr>
                      <a:pPr/>
                      <a:t>[CATEGORY NAME]</a:t>
                    </a:fld>
                    <a:r>
                      <a:rPr lang="en-US" sz="1100" b="1" baseline="0">
                        <a:solidFill>
                          <a:schemeClr val="tx1"/>
                        </a:solidFill>
                      </a:rPr>
                      <a:t>
</a:t>
                    </a:r>
                    <a:fld id="{0D122D65-B332-4460-91B6-C1B34DE3DD5F}" type="PERCENTAGE">
                      <a:rPr lang="en-US" sz="1100" b="1" baseline="0">
                        <a:solidFill>
                          <a:schemeClr val="tx1"/>
                        </a:solidFill>
                      </a:rPr>
                      <a:pPr/>
                      <a:t>[PERCENTAGE]</a:t>
                    </a:fld>
                    <a:endParaRPr lang="en-US" sz="1100"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49F-4CBD-B7BC-D6D989A9829E}"/>
                </c:ext>
              </c:extLst>
            </c:dLbl>
            <c:dLbl>
              <c:idx val="2"/>
              <c:tx>
                <c:rich>
                  <a:bodyPr/>
                  <a:lstStyle/>
                  <a:p>
                    <a:fld id="{8C3C73B0-384E-4D34-B18B-89FAD0905815}" type="CATEGORYNAME">
                      <a:rPr lang="en-US" sz="1100" b="1">
                        <a:solidFill>
                          <a:schemeClr val="tx1"/>
                        </a:solidFill>
                      </a:rPr>
                      <a:pPr/>
                      <a:t>[CATEGORY NAME]</a:t>
                    </a:fld>
                    <a:r>
                      <a:rPr lang="en-US" sz="1100" b="1" baseline="0">
                        <a:solidFill>
                          <a:schemeClr val="tx1"/>
                        </a:solidFill>
                      </a:rPr>
                      <a:t>
</a:t>
                    </a:r>
                    <a:fld id="{CC7D44F7-A208-4AFE-ADD9-ACB365D193D4}" type="PERCENTAGE">
                      <a:rPr lang="en-US" sz="1100" b="1" baseline="0">
                        <a:solidFill>
                          <a:schemeClr val="tx1"/>
                        </a:solidFill>
                      </a:rPr>
                      <a:pPr/>
                      <a:t>[PERCENTAGE]</a:t>
                    </a:fld>
                    <a:endParaRPr lang="en-US" sz="1100"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49F-4CBD-B7BC-D6D989A9829E}"/>
                </c:ext>
              </c:extLst>
            </c:dLbl>
            <c:dLbl>
              <c:idx val="3"/>
              <c:tx>
                <c:rich>
                  <a:bodyPr/>
                  <a:lstStyle/>
                  <a:p>
                    <a:fld id="{56EBFDF3-316D-4BC2-8019-40D5C70AA997}" type="CATEGORYNAME">
                      <a:rPr lang="en-US" sz="1100" b="1">
                        <a:solidFill>
                          <a:schemeClr val="tx1"/>
                        </a:solidFill>
                      </a:rPr>
                      <a:pPr/>
                      <a:t>[CATEGORY NAME]</a:t>
                    </a:fld>
                    <a:r>
                      <a:rPr lang="en-US" b="1" baseline="0">
                        <a:solidFill>
                          <a:schemeClr val="tx1"/>
                        </a:solidFill>
                      </a:rPr>
                      <a:t>
</a:t>
                    </a:r>
                    <a:fld id="{BD46B318-D359-49E6-8C23-04CDBCA33621}"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49F-4CBD-B7BC-D6D989A982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 mode'!$A$4:$A$8</c:f>
              <c:strCache>
                <c:ptCount val="4"/>
                <c:pt idx="0">
                  <c:v>Card</c:v>
                </c:pt>
                <c:pt idx="1">
                  <c:v>Cash</c:v>
                </c:pt>
                <c:pt idx="2">
                  <c:v>UPI</c:v>
                </c:pt>
                <c:pt idx="3">
                  <c:v>Wallet</c:v>
                </c:pt>
              </c:strCache>
            </c:strRef>
          </c:cat>
          <c:val>
            <c:numRef>
              <c:f>'pay mode'!$B$4:$B$8</c:f>
              <c:numCache>
                <c:formatCode>General</c:formatCode>
                <c:ptCount val="4"/>
                <c:pt idx="0">
                  <c:v>47</c:v>
                </c:pt>
                <c:pt idx="1">
                  <c:v>55</c:v>
                </c:pt>
                <c:pt idx="2">
                  <c:v>65</c:v>
                </c:pt>
                <c:pt idx="3">
                  <c:v>63</c:v>
                </c:pt>
              </c:numCache>
            </c:numRef>
          </c:val>
          <c:extLst>
            <c:ext xmlns:c16="http://schemas.microsoft.com/office/drawing/2014/chart" uri="{C3380CC4-5D6E-409C-BE32-E72D297353CC}">
              <c16:uniqueId val="{00000008-849F-4CBD-B7BC-D6D989A9829E}"/>
            </c:ext>
          </c:extLst>
        </c:ser>
        <c:dLbls>
          <c:dLblPos val="bestFit"/>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[Food_Delivery_Messy_Excel_Project.xlsx]TOP CUSTOMERS!PivotTable6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TOP</a:t>
            </a:r>
            <a:r>
              <a:rPr lang="en-IN" sz="1400" b="1" baseline="0">
                <a:solidFill>
                  <a:schemeClr val="tx1"/>
                </a:solidFill>
              </a:rPr>
              <a:t> 3 Customer</a:t>
            </a:r>
            <a:endParaRPr lang="en-IN" sz="1400" b="1">
              <a:solidFill>
                <a:schemeClr val="tx1"/>
              </a:solidFill>
            </a:endParaRPr>
          </a:p>
        </c:rich>
      </c:tx>
      <c:layout>
        <c:manualLayout>
          <c:xMode val="edge"/>
          <c:yMode val="edge"/>
          <c:x val="0.34420122484689414"/>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CUSTOMERS'!$B$3</c:f>
              <c:strCache>
                <c:ptCount val="1"/>
                <c:pt idx="0">
                  <c:v>Total</c:v>
                </c:pt>
              </c:strCache>
            </c:strRef>
          </c:tx>
          <c:spPr>
            <a:solidFill>
              <a:schemeClr val="accent6"/>
            </a:solidFill>
            <a:ln>
              <a:noFill/>
            </a:ln>
            <a:effectLst/>
          </c:spPr>
          <c:invertIfNegative val="0"/>
          <c:cat>
            <c:strRef>
              <c:f>'TOP CUSTOMERS'!$A$4:$A$7</c:f>
              <c:strCache>
                <c:ptCount val="3"/>
                <c:pt idx="0">
                  <c:v>Priya Patil</c:v>
                </c:pt>
                <c:pt idx="1">
                  <c:v>Rahul Singh</c:v>
                </c:pt>
                <c:pt idx="2">
                  <c:v>Amit Sharma</c:v>
                </c:pt>
              </c:strCache>
            </c:strRef>
          </c:cat>
          <c:val>
            <c:numRef>
              <c:f>'TOP CUSTOMERS'!$B$4:$B$7</c:f>
              <c:numCache>
                <c:formatCode>0.00</c:formatCode>
                <c:ptCount val="3"/>
                <c:pt idx="0">
                  <c:v>65940</c:v>
                </c:pt>
                <c:pt idx="1">
                  <c:v>58730</c:v>
                </c:pt>
                <c:pt idx="2">
                  <c:v>57885</c:v>
                </c:pt>
              </c:numCache>
            </c:numRef>
          </c:val>
          <c:extLst>
            <c:ext xmlns:c16="http://schemas.microsoft.com/office/drawing/2014/chart" uri="{C3380CC4-5D6E-409C-BE32-E72D297353CC}">
              <c16:uniqueId val="{00000000-5C30-4CE1-AEBC-1F25DFBC61AC}"/>
            </c:ext>
          </c:extLst>
        </c:ser>
        <c:dLbls>
          <c:showLegendKey val="0"/>
          <c:showVal val="0"/>
          <c:showCatName val="0"/>
          <c:showSerName val="0"/>
          <c:showPercent val="0"/>
          <c:showBubbleSize val="0"/>
        </c:dLbls>
        <c:gapWidth val="219"/>
        <c:overlap val="-27"/>
        <c:axId val="1624806912"/>
        <c:axId val="1624807392"/>
      </c:barChart>
      <c:catAx>
        <c:axId val="16248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07392"/>
        <c:crosses val="autoZero"/>
        <c:auto val="1"/>
        <c:lblAlgn val="ctr"/>
        <c:lblOffset val="100"/>
        <c:noMultiLvlLbl val="0"/>
      </c:catAx>
      <c:valAx>
        <c:axId val="1624807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0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[Food_Delivery_Messy_Excel_Project.xlsx]delivery time!PivotTable2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Delivery</a:t>
            </a:r>
            <a:r>
              <a:rPr lang="en-US" sz="1400" b="1" baseline="0">
                <a:solidFill>
                  <a:schemeClr val="tx1"/>
                </a:solidFill>
              </a:rPr>
              <a:t> Time</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time'!$B$3</c:f>
              <c:strCache>
                <c:ptCount val="1"/>
                <c:pt idx="0">
                  <c:v>Total</c:v>
                </c:pt>
              </c:strCache>
            </c:strRef>
          </c:tx>
          <c:spPr>
            <a:solidFill>
              <a:schemeClr val="accent6"/>
            </a:solidFill>
            <a:ln>
              <a:noFill/>
            </a:ln>
            <a:effectLst/>
          </c:spPr>
          <c:invertIfNegative val="0"/>
          <c:cat>
            <c:strRef>
              <c:f>'delivery time'!$A$4:$A$10</c:f>
              <c:strCache>
                <c:ptCount val="6"/>
                <c:pt idx="0">
                  <c:v>Bangalore</c:v>
                </c:pt>
                <c:pt idx="1">
                  <c:v>Delhi</c:v>
                </c:pt>
                <c:pt idx="2">
                  <c:v>Hyderabad</c:v>
                </c:pt>
                <c:pt idx="3">
                  <c:v>Mumbai</c:v>
                </c:pt>
                <c:pt idx="4">
                  <c:v>Nagpur</c:v>
                </c:pt>
                <c:pt idx="5">
                  <c:v>Pune</c:v>
                </c:pt>
              </c:strCache>
            </c:strRef>
          </c:cat>
          <c:val>
            <c:numRef>
              <c:f>'delivery time'!$B$4:$B$10</c:f>
              <c:numCache>
                <c:formatCode>General</c:formatCode>
                <c:ptCount val="6"/>
                <c:pt idx="0">
                  <c:v>50.133333333333333</c:v>
                </c:pt>
                <c:pt idx="1">
                  <c:v>51.694444444444443</c:v>
                </c:pt>
                <c:pt idx="2">
                  <c:v>49.258064516129032</c:v>
                </c:pt>
                <c:pt idx="3">
                  <c:v>46.760869565217391</c:v>
                </c:pt>
                <c:pt idx="4">
                  <c:v>46.727272727272727</c:v>
                </c:pt>
                <c:pt idx="5">
                  <c:v>47.564102564102562</c:v>
                </c:pt>
              </c:numCache>
            </c:numRef>
          </c:val>
          <c:extLst>
            <c:ext xmlns:c16="http://schemas.microsoft.com/office/drawing/2014/chart" uri="{C3380CC4-5D6E-409C-BE32-E72D297353CC}">
              <c16:uniqueId val="{00000000-550F-4BAB-A876-424BA7E67C0A}"/>
            </c:ext>
          </c:extLst>
        </c:ser>
        <c:dLbls>
          <c:showLegendKey val="0"/>
          <c:showVal val="0"/>
          <c:showCatName val="0"/>
          <c:showSerName val="0"/>
          <c:showPercent val="0"/>
          <c:showBubbleSize val="0"/>
        </c:dLbls>
        <c:gapWidth val="219"/>
        <c:overlap val="-27"/>
        <c:axId val="1624822272"/>
        <c:axId val="1624822752"/>
      </c:barChart>
      <c:catAx>
        <c:axId val="162482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22752"/>
        <c:crosses val="autoZero"/>
        <c:auto val="1"/>
        <c:lblAlgn val="ctr"/>
        <c:lblOffset val="100"/>
        <c:noMultiLvlLbl val="0"/>
      </c:catAx>
      <c:valAx>
        <c:axId val="1624822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2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[Food_Delivery_Messy_Excel_Project.xlsx]order status!PivotTable3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Order</a:t>
            </a:r>
            <a:r>
              <a:rPr lang="en-US" sz="1400" b="1" baseline="0">
                <a:solidFill>
                  <a:schemeClr val="tx1"/>
                </a:solidFill>
              </a:rPr>
              <a:t> Status</a:t>
            </a:r>
            <a:endParaRPr lang="en-US" sz="1400" b="1">
              <a:solidFill>
                <a:schemeClr val="tx1"/>
              </a:solidFill>
            </a:endParaRPr>
          </a:p>
        </c:rich>
      </c:tx>
      <c:layout>
        <c:manualLayout>
          <c:xMode val="edge"/>
          <c:yMode val="edge"/>
          <c:x val="0.55389610389610378"/>
          <c:y val="2.9895756957505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1C326EA-59A3-4217-812F-B48BE7C6E549}"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59550086-6400-4105-B1DF-D43A78D14E31}" type="PERCENTAG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A9E7938-AA36-42F6-B72D-F5F848829311}"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DE8D895E-85E2-42D2-9FBD-B03D91C7D130}" type="PERCENTAG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5"/>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4FF04E1-582C-4776-81B6-EB45EFC6A5CF}"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D7BFF837-1A54-4485-94C0-6B4AFD6DC100}" type="PERCENTAG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A9E7938-AA36-42F6-B72D-F5F848829311}"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DE8D895E-85E2-42D2-9FBD-B03D91C7D130}" type="PERCENTAG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4FF04E1-582C-4776-81B6-EB45EFC6A5CF}"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D7BFF837-1A54-4485-94C0-6B4AFD6DC100}" type="PERCENTAG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1C326EA-59A3-4217-812F-B48BE7C6E549}"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59550086-6400-4105-B1DF-D43A78D14E31}" type="PERCENTAG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dLbl>
          <c:idx val="0"/>
          <c:layout>
            <c:manualLayout>
              <c:x val="6.6382899623879251E-4"/>
              <c:y val="-8.535701001450922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A9E7938-AA36-42F6-B72D-F5F848829311}" type="CATEGORYNAME">
                  <a:rPr lang="en-US" sz="1000" b="1">
                    <a:solidFill>
                      <a:schemeClr val="tx1"/>
                    </a:solidFill>
                  </a:rPr>
                  <a:pPr>
                    <a:defRPr/>
                  </a:pPr>
                  <a:t>[CATEGORY NAME]</a:t>
                </a:fld>
                <a:r>
                  <a:rPr lang="en-US" sz="1000" b="1" baseline="0">
                    <a:solidFill>
                      <a:schemeClr val="tx1"/>
                    </a:solidFill>
                  </a:rPr>
                  <a:t>
</a:t>
                </a:r>
                <a:fld id="{DE8D895E-85E2-42D2-9FBD-B03D91C7D130}" type="PERCENTAGE">
                  <a:rPr lang="en-US" sz="1000" b="1" baseline="0">
                    <a:solidFill>
                      <a:schemeClr val="tx1"/>
                    </a:solidFill>
                  </a:rPr>
                  <a:pPr>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4FF04E1-582C-4776-81B6-EB45EFC6A5CF}" type="CATEGORYNAME">
                  <a:rPr lang="en-US" sz="900" b="1">
                    <a:solidFill>
                      <a:schemeClr val="tx1"/>
                    </a:solidFill>
                  </a:rPr>
                  <a:pPr>
                    <a:defRPr/>
                  </a:pPr>
                  <a:t>[CATEGORY NAME]</a:t>
                </a:fld>
                <a:r>
                  <a:rPr lang="en-US" sz="900" b="1" baseline="0">
                    <a:solidFill>
                      <a:schemeClr val="tx1"/>
                    </a:solidFill>
                  </a:rPr>
                  <a:t>
</a:t>
                </a:r>
                <a:fld id="{D7BFF837-1A54-4485-94C0-6B4AFD6DC100}" type="PERCENTAGE">
                  <a:rPr lang="en-US" sz="900" b="1" baseline="0">
                    <a:solidFill>
                      <a:schemeClr val="tx1"/>
                    </a:solidFill>
                  </a:rPr>
                  <a:pPr>
                    <a:defRPr/>
                  </a:pPr>
                  <a:t>[PERCENTAGE]</a:t>
                </a:fld>
                <a:endParaRPr lang="en-US" sz="9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1C326EA-59A3-4217-812F-B48BE7C6E549}" type="CATEGORYNAME">
                  <a:rPr lang="en-US" sz="900" b="1">
                    <a:solidFill>
                      <a:schemeClr val="tx1"/>
                    </a:solidFill>
                  </a:rPr>
                  <a:pPr>
                    <a:defRPr/>
                  </a:pPr>
                  <a:t>[CATEGORY NAME]</a:t>
                </a:fld>
                <a:r>
                  <a:rPr lang="en-US" sz="900" b="1" baseline="0">
                    <a:solidFill>
                      <a:schemeClr val="tx1"/>
                    </a:solidFill>
                  </a:rPr>
                  <a:t>
</a:t>
                </a:r>
                <a:fld id="{59550086-6400-4105-B1DF-D43A78D14E31}" type="PERCENTAGE">
                  <a:rPr lang="en-US" sz="900" b="1" baseline="0">
                    <a:solidFill>
                      <a:schemeClr val="tx1"/>
                    </a:solidFill>
                  </a:rPr>
                  <a:pPr>
                    <a:defRPr/>
                  </a:pPr>
                  <a:t>[PERCENTAGE]</a:t>
                </a:fld>
                <a:endParaRPr lang="en-US" sz="9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'order status'!$B$3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AA3-4DDC-A2C1-43B5835ABEB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AA3-4DDC-A2C1-43B5835ABEB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AA3-4DDC-A2C1-43B5835ABEB1}"/>
              </c:ext>
            </c:extLst>
          </c:dPt>
          <c:dLbls>
            <c:dLbl>
              <c:idx val="0"/>
              <c:layout>
                <c:manualLayout>
                  <c:x val="6.6382899623879251E-4"/>
                  <c:y val="-8.5357010014509224E-2"/>
                </c:manualLayout>
              </c:layout>
              <c:tx>
                <c:rich>
                  <a:bodyPr/>
                  <a:lstStyle/>
                  <a:p>
                    <a:fld id="{FA9E7938-AA36-42F6-B72D-F5F848829311}" type="CATEGORYNAME">
                      <a:rPr lang="en-US" sz="1000" b="1">
                        <a:solidFill>
                          <a:schemeClr val="tx1"/>
                        </a:solidFill>
                      </a:rPr>
                      <a:pPr/>
                      <a:t>[CATEGORY NAME]</a:t>
                    </a:fld>
                    <a:r>
                      <a:rPr lang="en-US" sz="1000" b="1" baseline="0">
                        <a:solidFill>
                          <a:schemeClr val="tx1"/>
                        </a:solidFill>
                      </a:rPr>
                      <a:t>
</a:t>
                    </a:r>
                    <a:fld id="{DE8D895E-85E2-42D2-9FBD-B03D91C7D130}" type="PERCENTAGE">
                      <a:rPr lang="en-US" sz="1000" b="1" baseline="0">
                        <a:solidFill>
                          <a:schemeClr val="tx1"/>
                        </a:solidFill>
                      </a:rPr>
                      <a:pPr/>
                      <a:t>[PERCENTAGE]</a:t>
                    </a:fld>
                    <a:endParaRPr lang="en-US" sz="1000"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AA3-4DDC-A2C1-43B5835ABEB1}"/>
                </c:ext>
              </c:extLst>
            </c:dLbl>
            <c:dLbl>
              <c:idx val="1"/>
              <c:tx>
                <c:rich>
                  <a:bodyPr/>
                  <a:lstStyle/>
                  <a:p>
                    <a:fld id="{94FF04E1-582C-4776-81B6-EB45EFC6A5CF}" type="CATEGORYNAME">
                      <a:rPr lang="en-US" sz="900" b="1">
                        <a:solidFill>
                          <a:schemeClr val="tx1"/>
                        </a:solidFill>
                      </a:rPr>
                      <a:pPr/>
                      <a:t>[CATEGORY NAME]</a:t>
                    </a:fld>
                    <a:r>
                      <a:rPr lang="en-US" sz="900" b="1" baseline="0">
                        <a:solidFill>
                          <a:schemeClr val="tx1"/>
                        </a:solidFill>
                      </a:rPr>
                      <a:t>
</a:t>
                    </a:r>
                    <a:fld id="{D7BFF837-1A54-4485-94C0-6B4AFD6DC100}" type="PERCENTAGE">
                      <a:rPr lang="en-US" sz="900" b="1" baseline="0">
                        <a:solidFill>
                          <a:schemeClr val="tx1"/>
                        </a:solidFill>
                      </a:rPr>
                      <a:pPr/>
                      <a:t>[PERCENTAGE]</a:t>
                    </a:fld>
                    <a:endParaRPr lang="en-US" sz="900"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AA3-4DDC-A2C1-43B5835ABEB1}"/>
                </c:ext>
              </c:extLst>
            </c:dLbl>
            <c:dLbl>
              <c:idx val="2"/>
              <c:tx>
                <c:rich>
                  <a:bodyPr/>
                  <a:lstStyle/>
                  <a:p>
                    <a:fld id="{41C326EA-59A3-4217-812F-B48BE7C6E549}" type="CATEGORYNAME">
                      <a:rPr lang="en-US" sz="900" b="1">
                        <a:solidFill>
                          <a:schemeClr val="tx1"/>
                        </a:solidFill>
                      </a:rPr>
                      <a:pPr/>
                      <a:t>[CATEGORY NAME]</a:t>
                    </a:fld>
                    <a:r>
                      <a:rPr lang="en-US" sz="900" b="1" baseline="0">
                        <a:solidFill>
                          <a:schemeClr val="tx1"/>
                        </a:solidFill>
                      </a:rPr>
                      <a:t>
</a:t>
                    </a:r>
                    <a:fld id="{59550086-6400-4105-B1DF-D43A78D14E31}" type="PERCENTAGE">
                      <a:rPr lang="en-US" sz="900" b="1" baseline="0">
                        <a:solidFill>
                          <a:schemeClr val="tx1"/>
                        </a:solidFill>
                      </a:rPr>
                      <a:pPr/>
                      <a:t>[PERCENTAGE]</a:t>
                    </a:fld>
                    <a:endParaRPr lang="en-US" sz="900"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AA3-4DDC-A2C1-43B5835ABEB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3"/>
                <c:pt idx="0">
                  <c:v>Cancelled</c:v>
                </c:pt>
                <c:pt idx="1">
                  <c:v>Delivered</c:v>
                </c:pt>
                <c:pt idx="2">
                  <c:v>Pending</c:v>
                </c:pt>
              </c:strCache>
            </c:strRef>
          </c:cat>
          <c:val>
            <c:numRef>
              <c:f>'order status'!$B$4:$B$7</c:f>
              <c:numCache>
                <c:formatCode>General</c:formatCode>
                <c:ptCount val="3"/>
                <c:pt idx="0">
                  <c:v>78</c:v>
                </c:pt>
                <c:pt idx="1">
                  <c:v>122</c:v>
                </c:pt>
                <c:pt idx="2">
                  <c:v>30</c:v>
                </c:pt>
              </c:numCache>
            </c:numRef>
          </c:val>
          <c:extLst>
            <c:ext xmlns:c16="http://schemas.microsoft.com/office/drawing/2014/chart" uri="{C3380CC4-5D6E-409C-BE32-E72D297353CC}">
              <c16:uniqueId val="{00000006-5AA3-4DDC-A2C1-43B5835ABEB1}"/>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[Food_Delivery_Messy_Excel_Project.xlsx]Monthly sales!PivotTable1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 of 2025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34925" cap="rnd">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5605437380029"/>
          <c:y val="0.23087744240303296"/>
          <c:w val="0.69995201159556553"/>
          <c:h val="0.53774387576552929"/>
        </c:manualLayout>
      </c:layout>
      <c:lineChart>
        <c:grouping val="standard"/>
        <c:varyColors val="0"/>
        <c:ser>
          <c:idx val="0"/>
          <c:order val="0"/>
          <c:tx>
            <c:strRef>
              <c:f>'Monthly sales'!$C$7</c:f>
              <c:strCache>
                <c:ptCount val="1"/>
                <c:pt idx="0">
                  <c:v>Total</c:v>
                </c:pt>
              </c:strCache>
            </c:strRef>
          </c:tx>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sales'!$B$8:$B$20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sales'!$C$8:$C$20</c:f>
              <c:numCache>
                <c:formatCode>0.00</c:formatCode>
                <c:ptCount val="12"/>
                <c:pt idx="0">
                  <c:v>83677</c:v>
                </c:pt>
                <c:pt idx="1">
                  <c:v>66130</c:v>
                </c:pt>
                <c:pt idx="2">
                  <c:v>102323</c:v>
                </c:pt>
                <c:pt idx="3">
                  <c:v>82101</c:v>
                </c:pt>
                <c:pt idx="4">
                  <c:v>1456</c:v>
                </c:pt>
                <c:pt idx="5">
                  <c:v>3106</c:v>
                </c:pt>
                <c:pt idx="6">
                  <c:v>5570</c:v>
                </c:pt>
                <c:pt idx="7">
                  <c:v>1550</c:v>
                </c:pt>
                <c:pt idx="8">
                  <c:v>7800</c:v>
                </c:pt>
                <c:pt idx="9">
                  <c:v>8340</c:v>
                </c:pt>
                <c:pt idx="10">
                  <c:v>4193</c:v>
                </c:pt>
                <c:pt idx="11">
                  <c:v>3307</c:v>
                </c:pt>
              </c:numCache>
            </c:numRef>
          </c:val>
          <c:smooth val="0"/>
          <c:extLst>
            <c:ext xmlns:c16="http://schemas.microsoft.com/office/drawing/2014/chart" uri="{C3380CC4-5D6E-409C-BE32-E72D297353CC}">
              <c16:uniqueId val="{00000000-193A-46D2-B325-1A8C86DCAB99}"/>
            </c:ext>
          </c:extLst>
        </c:ser>
        <c:dLbls>
          <c:showLegendKey val="0"/>
          <c:showVal val="0"/>
          <c:showCatName val="0"/>
          <c:showSerName val="0"/>
          <c:showPercent val="0"/>
          <c:showBubbleSize val="0"/>
        </c:dLbls>
        <c:marker val="1"/>
        <c:smooth val="0"/>
        <c:axId val="1523307711"/>
        <c:axId val="1523309631"/>
      </c:lineChart>
      <c:catAx>
        <c:axId val="15233077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309631"/>
        <c:crosses val="autoZero"/>
        <c:auto val="1"/>
        <c:lblAlgn val="ctr"/>
        <c:lblOffset val="100"/>
        <c:noMultiLvlLbl val="0"/>
      </c:catAx>
      <c:valAx>
        <c:axId val="1523309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3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[Food_Delivery_Messy_Excel_Project.xlsx]citywise order count!PivotTable1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Citywise</a:t>
            </a:r>
            <a:r>
              <a:rPr lang="en-US" sz="1600" b="1" baseline="0"/>
              <a:t> Orders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'citywise order count'!$C$5</c:f>
              <c:strCache>
                <c:ptCount val="1"/>
                <c:pt idx="0">
                  <c:v>Total</c:v>
                </c:pt>
              </c:strCache>
            </c:strRef>
          </c:tx>
          <c:spPr>
            <a:solidFill>
              <a:schemeClr val="accent6"/>
            </a:solidFill>
            <a:ln>
              <a:noFill/>
            </a:ln>
            <a:effectLst/>
          </c:spPr>
          <c:invertIfNegative val="0"/>
          <c:cat>
            <c:strRef>
              <c:f>'citywise order count'!$B$6:$B$12</c:f>
              <c:strCache>
                <c:ptCount val="6"/>
                <c:pt idx="0">
                  <c:v>Bangalore</c:v>
                </c:pt>
                <c:pt idx="1">
                  <c:v>Delhi</c:v>
                </c:pt>
                <c:pt idx="2">
                  <c:v>Hyderabad</c:v>
                </c:pt>
                <c:pt idx="3">
                  <c:v>Mumbai</c:v>
                </c:pt>
                <c:pt idx="4">
                  <c:v>Nagpur</c:v>
                </c:pt>
                <c:pt idx="5">
                  <c:v>Pune</c:v>
                </c:pt>
              </c:strCache>
            </c:strRef>
          </c:cat>
          <c:val>
            <c:numRef>
              <c:f>'citywise order count'!$C$6:$C$12</c:f>
              <c:numCache>
                <c:formatCode>General</c:formatCode>
                <c:ptCount val="6"/>
                <c:pt idx="0">
                  <c:v>45</c:v>
                </c:pt>
                <c:pt idx="1">
                  <c:v>36</c:v>
                </c:pt>
                <c:pt idx="2">
                  <c:v>31</c:v>
                </c:pt>
                <c:pt idx="3">
                  <c:v>46</c:v>
                </c:pt>
                <c:pt idx="4">
                  <c:v>33</c:v>
                </c:pt>
                <c:pt idx="5">
                  <c:v>39</c:v>
                </c:pt>
              </c:numCache>
            </c:numRef>
          </c:val>
          <c:extLst>
            <c:ext xmlns:c16="http://schemas.microsoft.com/office/drawing/2014/chart" uri="{C3380CC4-5D6E-409C-BE32-E72D297353CC}">
              <c16:uniqueId val="{00000000-C512-4ED9-9258-D531CF595BFF}"/>
            </c:ext>
          </c:extLst>
        </c:ser>
        <c:dLbls>
          <c:showLegendKey val="0"/>
          <c:showVal val="0"/>
          <c:showCatName val="0"/>
          <c:showSerName val="0"/>
          <c:showPercent val="0"/>
          <c:showBubbleSize val="0"/>
        </c:dLbls>
        <c:gapWidth val="219"/>
        <c:overlap val="-27"/>
        <c:axId val="299336288"/>
        <c:axId val="299327168"/>
      </c:barChart>
      <c:catAx>
        <c:axId val="29933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327168"/>
        <c:crosses val="autoZero"/>
        <c:auto val="1"/>
        <c:lblAlgn val="ctr"/>
        <c:lblOffset val="100"/>
        <c:noMultiLvlLbl val="0"/>
      </c:catAx>
      <c:valAx>
        <c:axId val="29932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3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[Food_Delivery_Messy_Excel_Project.xlsx]ratings!PivotTable3</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Customer</a:t>
            </a:r>
            <a:r>
              <a:rPr lang="en-US"/>
              <a:t> </a:t>
            </a:r>
            <a:r>
              <a:rPr lang="en-US">
                <a:solidFill>
                  <a:schemeClr val="tx1"/>
                </a:solidFill>
              </a:rPr>
              <a:t>Ratings</a:t>
            </a:r>
          </a:p>
        </c:rich>
      </c:tx>
      <c:layout>
        <c:manualLayout>
          <c:xMode val="edge"/>
          <c:yMode val="edge"/>
          <c:x val="0.41261789151356076"/>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ratings!$B$3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ratings!$A$4:$A$10</c:f>
              <c:strCache>
                <c:ptCount val="6"/>
                <c:pt idx="0">
                  <c:v>Burger Point</c:v>
                </c:pt>
                <c:pt idx="1">
                  <c:v>Foodiez</c:v>
                </c:pt>
                <c:pt idx="2">
                  <c:v>Pizza Corner</c:v>
                </c:pt>
                <c:pt idx="3">
                  <c:v>Spice Hub</c:v>
                </c:pt>
                <c:pt idx="4">
                  <c:v>Tandoori Treat</c:v>
                </c:pt>
                <c:pt idx="5">
                  <c:v>Urban Bites</c:v>
                </c:pt>
              </c:strCache>
            </c:strRef>
          </c:cat>
          <c:val>
            <c:numRef>
              <c:f>ratings!$B$4:$B$10</c:f>
              <c:numCache>
                <c:formatCode>0.00</c:formatCode>
                <c:ptCount val="6"/>
                <c:pt idx="0">
                  <c:v>3.6</c:v>
                </c:pt>
                <c:pt idx="1">
                  <c:v>3.0625</c:v>
                </c:pt>
                <c:pt idx="2">
                  <c:v>3.3103448275862069</c:v>
                </c:pt>
                <c:pt idx="3">
                  <c:v>3.5714285714285716</c:v>
                </c:pt>
                <c:pt idx="4">
                  <c:v>3.5208333333333335</c:v>
                </c:pt>
                <c:pt idx="5">
                  <c:v>3.392156862745098</c:v>
                </c:pt>
              </c:numCache>
            </c:numRef>
          </c:val>
          <c:extLst>
            <c:ext xmlns:c16="http://schemas.microsoft.com/office/drawing/2014/chart" uri="{C3380CC4-5D6E-409C-BE32-E72D297353CC}">
              <c16:uniqueId val="{00000000-23B1-442D-9C23-E69AC5F96312}"/>
            </c:ext>
          </c:extLst>
        </c:ser>
        <c:dLbls>
          <c:dLblPos val="outEnd"/>
          <c:showLegendKey val="0"/>
          <c:showVal val="1"/>
          <c:showCatName val="0"/>
          <c:showSerName val="0"/>
          <c:showPercent val="0"/>
          <c:showBubbleSize val="0"/>
        </c:dLbls>
        <c:gapWidth val="100"/>
        <c:axId val="1537238415"/>
        <c:axId val="1344752047"/>
      </c:barChart>
      <c:catAx>
        <c:axId val="15372384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4752047"/>
        <c:crosses val="autoZero"/>
        <c:auto val="1"/>
        <c:lblAlgn val="ctr"/>
        <c:lblOffset val="100"/>
        <c:noMultiLvlLbl val="0"/>
      </c:catAx>
      <c:valAx>
        <c:axId val="1344752047"/>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723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[Food_Delivery_Messy_Excel_Project.xlsx]order count!PivotTable4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count'!$B$3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'order count'!$A$4:$A$9</c:f>
              <c:strCache>
                <c:ptCount val="5"/>
                <c:pt idx="0">
                  <c:v>Chinese</c:v>
                </c:pt>
                <c:pt idx="1">
                  <c:v>Desserts</c:v>
                </c:pt>
                <c:pt idx="2">
                  <c:v>Fast Food</c:v>
                </c:pt>
                <c:pt idx="3">
                  <c:v>Indian</c:v>
                </c:pt>
                <c:pt idx="4">
                  <c:v>Pizza</c:v>
                </c:pt>
              </c:strCache>
            </c:strRef>
          </c:cat>
          <c:val>
            <c:numRef>
              <c:f>'order count'!$B$4:$B$9</c:f>
              <c:numCache>
                <c:formatCode>General</c:formatCode>
                <c:ptCount val="5"/>
                <c:pt idx="0">
                  <c:v>47</c:v>
                </c:pt>
                <c:pt idx="1">
                  <c:v>48</c:v>
                </c:pt>
                <c:pt idx="2">
                  <c:v>45</c:v>
                </c:pt>
                <c:pt idx="3">
                  <c:v>46</c:v>
                </c:pt>
                <c:pt idx="4">
                  <c:v>44</c:v>
                </c:pt>
              </c:numCache>
            </c:numRef>
          </c:val>
          <c:extLst>
            <c:ext xmlns:c16="http://schemas.microsoft.com/office/drawing/2014/chart" uri="{C3380CC4-5D6E-409C-BE32-E72D297353CC}">
              <c16:uniqueId val="{00000000-C0C2-4C1E-BEB2-B90BB88F3065}"/>
            </c:ext>
          </c:extLst>
        </c:ser>
        <c:dLbls>
          <c:showLegendKey val="0"/>
          <c:showVal val="0"/>
          <c:showCatName val="0"/>
          <c:showSerName val="0"/>
          <c:showPercent val="0"/>
          <c:showBubbleSize val="0"/>
        </c:dLbls>
        <c:gapWidth val="315"/>
        <c:overlap val="-40"/>
        <c:axId val="1535375103"/>
        <c:axId val="1535374143"/>
      </c:barChart>
      <c:catAx>
        <c:axId val="15353751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5374143"/>
        <c:crosses val="autoZero"/>
        <c:auto val="1"/>
        <c:lblAlgn val="ctr"/>
        <c:lblOffset val="100"/>
        <c:noMultiLvlLbl val="0"/>
      </c:catAx>
      <c:valAx>
        <c:axId val="15353741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537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[Food_Delivery_Messy_Excel_Project.xlsx]pay mode!PivotTable5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Payment</a:t>
            </a:r>
            <a:r>
              <a:rPr lang="en-IN" sz="1600" b="1" baseline="0">
                <a:solidFill>
                  <a:schemeClr val="tx1"/>
                </a:solidFill>
              </a:rPr>
              <a:t> Mode</a:t>
            </a:r>
            <a:endParaRPr lang="en-IN" sz="1600" b="1">
              <a:solidFill>
                <a:schemeClr val="tx1"/>
              </a:solidFill>
            </a:endParaRPr>
          </a:p>
        </c:rich>
      </c:tx>
      <c:layout>
        <c:manualLayout>
          <c:xMode val="edge"/>
          <c:yMode val="edge"/>
          <c:x val="0.37729603729603733"/>
          <c:y val="3.295013790366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B5B512-D20E-4F03-AFCE-8B6F81C60E7B}" type="CATEGORYNAME">
                  <a:rPr lang="en-US" sz="1100" b="1">
                    <a:solidFill>
                      <a:schemeClr val="tx1"/>
                    </a:solidFill>
                  </a:rPr>
                  <a:pPr>
                    <a:defRPr/>
                  </a:pPr>
                  <a:t>[CATEGORY NAME]</a:t>
                </a:fld>
                <a:r>
                  <a:rPr lang="en-US" sz="1100" b="1" baseline="0">
                    <a:solidFill>
                      <a:schemeClr val="tx1"/>
                    </a:solidFill>
                  </a:rPr>
                  <a:t>
</a:t>
                </a:r>
                <a:fld id="{94D94624-BE92-47F1-8CEE-8C7A1E5C70D9}"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6079809-EA16-4B9B-9041-43E813D617C2}" type="CATEGORYNAME">
                  <a:rPr lang="en-US" sz="1100" b="1">
                    <a:solidFill>
                      <a:schemeClr val="tx1"/>
                    </a:solidFill>
                  </a:rPr>
                  <a:pPr>
                    <a:defRPr/>
                  </a:pPr>
                  <a:t>[CATEGORY NAME]</a:t>
                </a:fld>
                <a:r>
                  <a:rPr lang="en-US" sz="1100" b="1" baseline="0">
                    <a:solidFill>
                      <a:schemeClr val="tx1"/>
                    </a:solidFill>
                  </a:rPr>
                  <a:t>
</a:t>
                </a:r>
                <a:fld id="{0D122D65-B332-4460-91B6-C1B34DE3DD5F}"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3C73B0-384E-4D34-B18B-89FAD0905815}" type="CATEGORYNAME">
                  <a:rPr lang="en-US" sz="1100" b="1">
                    <a:solidFill>
                      <a:schemeClr val="tx1"/>
                    </a:solidFill>
                  </a:rPr>
                  <a:pPr>
                    <a:defRPr/>
                  </a:pPr>
                  <a:t>[CATEGORY NAME]</a:t>
                </a:fld>
                <a:r>
                  <a:rPr lang="en-US" sz="1100" b="1" baseline="0">
                    <a:solidFill>
                      <a:schemeClr val="tx1"/>
                    </a:solidFill>
                  </a:rPr>
                  <a:t>
</a:t>
                </a:r>
                <a:fld id="{CC7D44F7-A208-4AFE-ADD9-ACB365D193D4}" type="PERCENTAGE">
                  <a:rPr lang="en-US" sz="1100" b="1" baseline="0">
                    <a:solidFill>
                      <a:schemeClr val="tx1"/>
                    </a:solidFill>
                  </a:rPr>
                  <a:pPr>
                    <a:defRPr/>
                  </a:pPr>
                  <a:t>[PERCENTAGE]</a:t>
                </a:fld>
                <a:endParaRPr lang="en-US" sz="11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6"/>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6EBFDF3-316D-4BC2-8019-40D5C70AA997}" type="CATEGORYNAME">
                  <a:rPr lang="en-US" sz="1100" b="1">
                    <a:solidFill>
                      <a:schemeClr val="tx1"/>
                    </a:solidFill>
                  </a:rPr>
                  <a:pPr>
                    <a:defRPr/>
                  </a:pPr>
                  <a:t>[CATEGORY NAME]</a:t>
                </a:fld>
                <a:r>
                  <a:rPr lang="en-US" b="1" baseline="0">
                    <a:solidFill>
                      <a:schemeClr val="tx1"/>
                    </a:solidFill>
                  </a:rPr>
                  <a:t>
</a:t>
                </a:r>
                <a:fld id="{BD46B318-D359-49E6-8C23-04CDBCA33621}" type="PERCENTAGE">
                  <a:rPr lang="en-US" b="1" baseline="0">
                    <a:solidFill>
                      <a:schemeClr val="tx1"/>
                    </a:solidFill>
                  </a:rPr>
                  <a:pPr>
                    <a:defRPr/>
                  </a:pPr>
                  <a:t>[PERCENTAGE]</a:t>
                </a:fld>
                <a:endParaRPr lang="en-US"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275058275058272E-2"/>
          <c:y val="0.1495532721688061"/>
          <c:w val="0.8723776223776224"/>
          <c:h val="0.803856300046357"/>
        </c:manualLayout>
      </c:layout>
      <c:pie3DChart>
        <c:varyColors val="1"/>
        <c:ser>
          <c:idx val="0"/>
          <c:order val="0"/>
          <c:tx>
            <c:strRef>
              <c:f>'pay mode'!$B$3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19-44B2-87A6-FB0ADFABBF31}"/>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19-44B2-87A6-FB0ADFABBF31}"/>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19-44B2-87A6-FB0ADFABBF31}"/>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19-44B2-87A6-FB0ADFABBF31}"/>
              </c:ext>
            </c:extLst>
          </c:dPt>
          <c:dLbls>
            <c:dLbl>
              <c:idx val="0"/>
              <c:tx>
                <c:rich>
                  <a:bodyPr/>
                  <a:lstStyle/>
                  <a:p>
                    <a:fld id="{09B5B512-D20E-4F03-AFCE-8B6F81C60E7B}" type="CATEGORYNAME">
                      <a:rPr lang="en-US" sz="1100" b="1">
                        <a:solidFill>
                          <a:schemeClr val="tx1"/>
                        </a:solidFill>
                      </a:rPr>
                      <a:pPr/>
                      <a:t>[CATEGORY NAME]</a:t>
                    </a:fld>
                    <a:r>
                      <a:rPr lang="en-US" sz="1100" b="1" baseline="0">
                        <a:solidFill>
                          <a:schemeClr val="tx1"/>
                        </a:solidFill>
                      </a:rPr>
                      <a:t>
</a:t>
                    </a:r>
                    <a:fld id="{94D94624-BE92-47F1-8CEE-8C7A1E5C70D9}" type="PERCENTAGE">
                      <a:rPr lang="en-US" sz="1100" b="1" baseline="0">
                        <a:solidFill>
                          <a:schemeClr val="tx1"/>
                        </a:solidFill>
                      </a:rPr>
                      <a:pPr/>
                      <a:t>[PERCENTAGE]</a:t>
                    </a:fld>
                    <a:endParaRPr lang="en-US" sz="1100"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919-44B2-87A6-FB0ADFABBF31}"/>
                </c:ext>
              </c:extLst>
            </c:dLbl>
            <c:dLbl>
              <c:idx val="1"/>
              <c:tx>
                <c:rich>
                  <a:bodyPr/>
                  <a:lstStyle/>
                  <a:p>
                    <a:fld id="{96079809-EA16-4B9B-9041-43E813D617C2}" type="CATEGORYNAME">
                      <a:rPr lang="en-US" sz="1100" b="1">
                        <a:solidFill>
                          <a:schemeClr val="tx1"/>
                        </a:solidFill>
                      </a:rPr>
                      <a:pPr/>
                      <a:t>[CATEGORY NAME]</a:t>
                    </a:fld>
                    <a:r>
                      <a:rPr lang="en-US" sz="1100" b="1" baseline="0">
                        <a:solidFill>
                          <a:schemeClr val="tx1"/>
                        </a:solidFill>
                      </a:rPr>
                      <a:t>
</a:t>
                    </a:r>
                    <a:fld id="{0D122D65-B332-4460-91B6-C1B34DE3DD5F}" type="PERCENTAGE">
                      <a:rPr lang="en-US" sz="1100" b="1" baseline="0">
                        <a:solidFill>
                          <a:schemeClr val="tx1"/>
                        </a:solidFill>
                      </a:rPr>
                      <a:pPr/>
                      <a:t>[PERCENTAGE]</a:t>
                    </a:fld>
                    <a:endParaRPr lang="en-US" sz="1100"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919-44B2-87A6-FB0ADFABBF31}"/>
                </c:ext>
              </c:extLst>
            </c:dLbl>
            <c:dLbl>
              <c:idx val="2"/>
              <c:tx>
                <c:rich>
                  <a:bodyPr/>
                  <a:lstStyle/>
                  <a:p>
                    <a:fld id="{8C3C73B0-384E-4D34-B18B-89FAD0905815}" type="CATEGORYNAME">
                      <a:rPr lang="en-US" sz="1100" b="1">
                        <a:solidFill>
                          <a:schemeClr val="tx1"/>
                        </a:solidFill>
                      </a:rPr>
                      <a:pPr/>
                      <a:t>[CATEGORY NAME]</a:t>
                    </a:fld>
                    <a:r>
                      <a:rPr lang="en-US" sz="1100" b="1" baseline="0">
                        <a:solidFill>
                          <a:schemeClr val="tx1"/>
                        </a:solidFill>
                      </a:rPr>
                      <a:t>
</a:t>
                    </a:r>
                    <a:fld id="{CC7D44F7-A208-4AFE-ADD9-ACB365D193D4}" type="PERCENTAGE">
                      <a:rPr lang="en-US" sz="1100" b="1" baseline="0">
                        <a:solidFill>
                          <a:schemeClr val="tx1"/>
                        </a:solidFill>
                      </a:rPr>
                      <a:pPr/>
                      <a:t>[PERCENTAGE]</a:t>
                    </a:fld>
                    <a:endParaRPr lang="en-US" sz="1100"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919-44B2-87A6-FB0ADFABBF31}"/>
                </c:ext>
              </c:extLst>
            </c:dLbl>
            <c:dLbl>
              <c:idx val="3"/>
              <c:tx>
                <c:rich>
                  <a:bodyPr/>
                  <a:lstStyle/>
                  <a:p>
                    <a:fld id="{56EBFDF3-316D-4BC2-8019-40D5C70AA997}" type="CATEGORYNAME">
                      <a:rPr lang="en-US" sz="1100" b="1">
                        <a:solidFill>
                          <a:schemeClr val="tx1"/>
                        </a:solidFill>
                      </a:rPr>
                      <a:pPr/>
                      <a:t>[CATEGORY NAME]</a:t>
                    </a:fld>
                    <a:r>
                      <a:rPr lang="en-US" b="1" baseline="0">
                        <a:solidFill>
                          <a:schemeClr val="tx1"/>
                        </a:solidFill>
                      </a:rPr>
                      <a:t>
</a:t>
                    </a:r>
                    <a:fld id="{BD46B318-D359-49E6-8C23-04CDBCA33621}" type="PERCENTAGE">
                      <a:rPr lang="en-US" b="1" baseline="0">
                        <a:solidFill>
                          <a:schemeClr val="tx1"/>
                        </a:solidFill>
                      </a:rPr>
                      <a:pPr/>
                      <a:t>[PERCENTAGE]</a:t>
                    </a:fld>
                    <a:endParaRPr lang="en-US" b="1" baseline="0">
                      <a:solidFill>
                        <a:schemeClr val="tx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919-44B2-87A6-FB0ADFABBF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 mode'!$A$4:$A$8</c:f>
              <c:strCache>
                <c:ptCount val="4"/>
                <c:pt idx="0">
                  <c:v>Card</c:v>
                </c:pt>
                <c:pt idx="1">
                  <c:v>Cash</c:v>
                </c:pt>
                <c:pt idx="2">
                  <c:v>UPI</c:v>
                </c:pt>
                <c:pt idx="3">
                  <c:v>Wallet</c:v>
                </c:pt>
              </c:strCache>
            </c:strRef>
          </c:cat>
          <c:val>
            <c:numRef>
              <c:f>'pay mode'!$B$4:$B$8</c:f>
              <c:numCache>
                <c:formatCode>General</c:formatCode>
                <c:ptCount val="4"/>
                <c:pt idx="0">
                  <c:v>47</c:v>
                </c:pt>
                <c:pt idx="1">
                  <c:v>55</c:v>
                </c:pt>
                <c:pt idx="2">
                  <c:v>65</c:v>
                </c:pt>
                <c:pt idx="3">
                  <c:v>63</c:v>
                </c:pt>
              </c:numCache>
            </c:numRef>
          </c:val>
          <c:extLst>
            <c:ext xmlns:c16="http://schemas.microsoft.com/office/drawing/2014/chart" uri="{C3380CC4-5D6E-409C-BE32-E72D297353CC}">
              <c16:uniqueId val="{00000000-0ADC-45FC-B37B-20EFD95BD165}"/>
            </c:ext>
          </c:extLst>
        </c:ser>
        <c:dLbls>
          <c:dLblPos val="bestFit"/>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[Food_Delivery_Messy_Excel_Project.xlsx]TOP CUSTOMERS!PivotTable6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1"/>
                </a:solidFill>
              </a:rPr>
              <a:t>TOP</a:t>
            </a:r>
            <a:r>
              <a:rPr lang="en-IN" sz="1600" b="1" baseline="0">
                <a:solidFill>
                  <a:schemeClr val="tx1"/>
                </a:solidFill>
              </a:rPr>
              <a:t> 3 Customer</a:t>
            </a:r>
            <a:endParaRPr lang="en-IN" sz="1600" b="1">
              <a:solidFill>
                <a:schemeClr val="tx1"/>
              </a:solidFill>
            </a:endParaRPr>
          </a:p>
        </c:rich>
      </c:tx>
      <c:layout>
        <c:manualLayout>
          <c:xMode val="edge"/>
          <c:yMode val="edge"/>
          <c:x val="0.34420122484689414"/>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s>
    <c:plotArea>
      <c:layout/>
      <c:barChart>
        <c:barDir val="col"/>
        <c:grouping val="clustered"/>
        <c:varyColors val="0"/>
        <c:ser>
          <c:idx val="0"/>
          <c:order val="0"/>
          <c:tx>
            <c:strRef>
              <c:f>'TOP CUSTOMERS'!$B$3</c:f>
              <c:strCache>
                <c:ptCount val="1"/>
                <c:pt idx="0">
                  <c:v>Total</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669F-449B-B54F-1883BC5CB883}"/>
              </c:ext>
            </c:extLst>
          </c:dPt>
          <c:cat>
            <c:strRef>
              <c:f>'TOP CUSTOMERS'!$A$4:$A$7</c:f>
              <c:strCache>
                <c:ptCount val="3"/>
                <c:pt idx="0">
                  <c:v>Priya Patil</c:v>
                </c:pt>
                <c:pt idx="1">
                  <c:v>Rahul Singh</c:v>
                </c:pt>
                <c:pt idx="2">
                  <c:v>Amit Sharma</c:v>
                </c:pt>
              </c:strCache>
            </c:strRef>
          </c:cat>
          <c:val>
            <c:numRef>
              <c:f>'TOP CUSTOMERS'!$B$4:$B$7</c:f>
              <c:numCache>
                <c:formatCode>0.00</c:formatCode>
                <c:ptCount val="3"/>
                <c:pt idx="0">
                  <c:v>65940</c:v>
                </c:pt>
                <c:pt idx="1">
                  <c:v>58730</c:v>
                </c:pt>
                <c:pt idx="2">
                  <c:v>57885</c:v>
                </c:pt>
              </c:numCache>
            </c:numRef>
          </c:val>
          <c:extLst>
            <c:ext xmlns:c16="http://schemas.microsoft.com/office/drawing/2014/chart" uri="{C3380CC4-5D6E-409C-BE32-E72D297353CC}">
              <c16:uniqueId val="{00000000-68A5-4F2D-A44F-0A31AFA7553D}"/>
            </c:ext>
          </c:extLst>
        </c:ser>
        <c:dLbls>
          <c:showLegendKey val="0"/>
          <c:showVal val="0"/>
          <c:showCatName val="0"/>
          <c:showSerName val="0"/>
          <c:showPercent val="0"/>
          <c:showBubbleSize val="0"/>
        </c:dLbls>
        <c:gapWidth val="219"/>
        <c:overlap val="-27"/>
        <c:axId val="1624806912"/>
        <c:axId val="1624807392"/>
      </c:barChart>
      <c:catAx>
        <c:axId val="16248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07392"/>
        <c:crosses val="autoZero"/>
        <c:auto val="1"/>
        <c:lblAlgn val="ctr"/>
        <c:lblOffset val="100"/>
        <c:noMultiLvlLbl val="0"/>
      </c:catAx>
      <c:valAx>
        <c:axId val="1624807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0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[Food_Delivery_Messy_Excel_Project.xlsx]delivery time!PivotTable2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Delivery</a:t>
            </a:r>
            <a:r>
              <a:rPr lang="en-US" sz="1600" b="1" baseline="0">
                <a:solidFill>
                  <a:schemeClr val="tx1"/>
                </a:solidFill>
              </a:rPr>
              <a:t> Time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time'!$B$3</c:f>
              <c:strCache>
                <c:ptCount val="1"/>
                <c:pt idx="0">
                  <c:v>Total</c:v>
                </c:pt>
              </c:strCache>
            </c:strRef>
          </c:tx>
          <c:spPr>
            <a:solidFill>
              <a:schemeClr val="accent6"/>
            </a:solidFill>
            <a:ln>
              <a:noFill/>
            </a:ln>
            <a:effectLst/>
          </c:spPr>
          <c:invertIfNegative val="0"/>
          <c:cat>
            <c:strRef>
              <c:f>'delivery time'!$A$4:$A$10</c:f>
              <c:strCache>
                <c:ptCount val="6"/>
                <c:pt idx="0">
                  <c:v>Bangalore</c:v>
                </c:pt>
                <c:pt idx="1">
                  <c:v>Delhi</c:v>
                </c:pt>
                <c:pt idx="2">
                  <c:v>Hyderabad</c:v>
                </c:pt>
                <c:pt idx="3">
                  <c:v>Mumbai</c:v>
                </c:pt>
                <c:pt idx="4">
                  <c:v>Nagpur</c:v>
                </c:pt>
                <c:pt idx="5">
                  <c:v>Pune</c:v>
                </c:pt>
              </c:strCache>
            </c:strRef>
          </c:cat>
          <c:val>
            <c:numRef>
              <c:f>'delivery time'!$B$4:$B$10</c:f>
              <c:numCache>
                <c:formatCode>General</c:formatCode>
                <c:ptCount val="6"/>
                <c:pt idx="0">
                  <c:v>50.133333333333333</c:v>
                </c:pt>
                <c:pt idx="1">
                  <c:v>51.694444444444443</c:v>
                </c:pt>
                <c:pt idx="2">
                  <c:v>49.258064516129032</c:v>
                </c:pt>
                <c:pt idx="3">
                  <c:v>46.760869565217391</c:v>
                </c:pt>
                <c:pt idx="4">
                  <c:v>46.727272727272727</c:v>
                </c:pt>
                <c:pt idx="5">
                  <c:v>47.564102564102562</c:v>
                </c:pt>
              </c:numCache>
            </c:numRef>
          </c:val>
          <c:extLst>
            <c:ext xmlns:c16="http://schemas.microsoft.com/office/drawing/2014/chart" uri="{C3380CC4-5D6E-409C-BE32-E72D297353CC}">
              <c16:uniqueId val="{00000000-EF80-4D7C-9F3E-55985161D3C5}"/>
            </c:ext>
          </c:extLst>
        </c:ser>
        <c:dLbls>
          <c:showLegendKey val="0"/>
          <c:showVal val="0"/>
          <c:showCatName val="0"/>
          <c:showSerName val="0"/>
          <c:showPercent val="0"/>
          <c:showBubbleSize val="0"/>
        </c:dLbls>
        <c:gapWidth val="219"/>
        <c:overlap val="-27"/>
        <c:axId val="1624822272"/>
        <c:axId val="1624822752"/>
      </c:barChart>
      <c:catAx>
        <c:axId val="1624822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22752"/>
        <c:crosses val="autoZero"/>
        <c:auto val="1"/>
        <c:lblAlgn val="ctr"/>
        <c:lblOffset val="100"/>
        <c:noMultiLvlLbl val="0"/>
      </c:catAx>
      <c:valAx>
        <c:axId val="1624822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82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[Food_Delivery_Messy_Excel_Project.xlsx]order status!PivotTable3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Order</a:t>
            </a:r>
            <a:r>
              <a:rPr lang="en-US" sz="1400" b="1" baseline="0">
                <a:solidFill>
                  <a:schemeClr val="tx1"/>
                </a:solidFill>
              </a:rPr>
              <a:t> Status</a:t>
            </a:r>
            <a:endParaRPr lang="en-US" sz="1400" b="1">
              <a:solidFill>
                <a:schemeClr val="tx1"/>
              </a:solidFill>
            </a:endParaRPr>
          </a:p>
        </c:rich>
      </c:tx>
      <c:layout>
        <c:manualLayout>
          <c:xMode val="edge"/>
          <c:yMode val="edge"/>
          <c:x val="0.67076377952755917"/>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1C326EA-59A3-4217-812F-B48BE7C6E549}" type="CATEGORYNAME">
                  <a:rPr lang="en-US" sz="1000" b="1">
                    <a:solidFill>
                      <a:schemeClr val="tx1"/>
                    </a:solidFill>
                  </a:rPr>
                  <a:pPr>
                    <a:defRPr/>
                  </a:pPr>
                  <a:t>[CATEGORY NAME]</a:t>
                </a:fld>
                <a:r>
                  <a:rPr lang="en-US" sz="1000" b="1" baseline="0">
                    <a:solidFill>
                      <a:schemeClr val="tx1"/>
                    </a:solidFill>
                  </a:rPr>
                  <a:t>
</a:t>
                </a:r>
                <a:fld id="{59550086-6400-4105-B1DF-D43A78D14E31}" type="PERCENTAGE">
                  <a:rPr lang="en-US" sz="1000" b="1" baseline="0">
                    <a:solidFill>
                      <a:schemeClr val="tx1"/>
                    </a:solidFill>
                  </a:rPr>
                  <a:pPr>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A9E7938-AA36-42F6-B72D-F5F848829311}" type="CATEGORYNAME">
                  <a:rPr lang="en-US" sz="1000" b="1">
                    <a:solidFill>
                      <a:schemeClr val="tx1"/>
                    </a:solidFill>
                  </a:rPr>
                  <a:pPr>
                    <a:defRPr/>
                  </a:pPr>
                  <a:t>[CATEGORY NAME]</a:t>
                </a:fld>
                <a:r>
                  <a:rPr lang="en-US" sz="1000" b="1" baseline="0">
                    <a:solidFill>
                      <a:schemeClr val="tx1"/>
                    </a:solidFill>
                  </a:rPr>
                  <a:t>
</a:t>
                </a:r>
                <a:fld id="{DE8D895E-85E2-42D2-9FBD-B03D91C7D130}" type="PERCENTAGE">
                  <a:rPr lang="en-US" sz="1000" b="1" baseline="0">
                    <a:solidFill>
                      <a:schemeClr val="tx1"/>
                    </a:solidFill>
                  </a:rPr>
                  <a:pPr>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6"/>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4FF04E1-582C-4776-81B6-EB45EFC6A5CF}" type="CATEGORYNAME">
                  <a:rPr lang="en-US" sz="1000" b="1">
                    <a:solidFill>
                      <a:schemeClr val="tx1"/>
                    </a:solidFill>
                  </a:rPr>
                  <a:pPr>
                    <a:defRPr/>
                  </a:pPr>
                  <a:t>[CATEGORY NAME]</a:t>
                </a:fld>
                <a:r>
                  <a:rPr lang="en-US" sz="1000" b="1" baseline="0">
                    <a:solidFill>
                      <a:schemeClr val="tx1"/>
                    </a:solidFill>
                  </a:rPr>
                  <a:t>
</a:t>
                </a:r>
                <a:fld id="{D7BFF837-1A54-4485-94C0-6B4AFD6DC100}" type="PERCENTAGE">
                  <a:rPr lang="en-US" sz="1000" b="1" baseline="0">
                    <a:solidFill>
                      <a:schemeClr val="tx1"/>
                    </a:solidFill>
                  </a:rPr>
                  <a:pPr>
                    <a:defRPr/>
                  </a:pPr>
                  <a:t>[PERCENTAGE]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'order status'!$B$3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3-9BA5-4927-A2EF-23774155D18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4-9BA5-4927-A2EF-23774155D18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2-9BA5-4927-A2EF-23774155D18B}"/>
              </c:ext>
            </c:extLst>
          </c:dPt>
          <c:dLbls>
            <c:dLbl>
              <c:idx val="0"/>
              <c:tx>
                <c:rich>
                  <a:bodyPr/>
                  <a:lstStyle/>
                  <a:p>
                    <a:fld id="{FA9E7938-AA36-42F6-B72D-F5F848829311}" type="CATEGORYNAME">
                      <a:rPr lang="en-US" sz="1000" b="1">
                        <a:solidFill>
                          <a:schemeClr val="tx1"/>
                        </a:solidFill>
                      </a:rPr>
                      <a:pPr/>
                      <a:t>[CATEGORY NAME]</a:t>
                    </a:fld>
                    <a:r>
                      <a:rPr lang="en-US" sz="1000" b="1" baseline="0">
                        <a:solidFill>
                          <a:schemeClr val="tx1"/>
                        </a:solidFill>
                      </a:rPr>
                      <a:t>
</a:t>
                    </a:r>
                    <a:fld id="{DE8D895E-85E2-42D2-9FBD-B03D91C7D130}" type="PERCENTAGE">
                      <a:rPr lang="en-US" sz="1000" b="1" baseline="0">
                        <a:solidFill>
                          <a:schemeClr val="tx1"/>
                        </a:solidFill>
                      </a:rPr>
                      <a:pPr/>
                      <a:t>[PERCENTAGE]</a:t>
                    </a:fld>
                    <a:endParaRPr lang="en-US" sz="1000"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BA5-4927-A2EF-23774155D18B}"/>
                </c:ext>
              </c:extLst>
            </c:dLbl>
            <c:dLbl>
              <c:idx val="1"/>
              <c:tx>
                <c:rich>
                  <a:bodyPr/>
                  <a:lstStyle/>
                  <a:p>
                    <a:fld id="{94FF04E1-582C-4776-81B6-EB45EFC6A5CF}" type="CATEGORYNAME">
                      <a:rPr lang="en-US" sz="1000" b="1">
                        <a:solidFill>
                          <a:schemeClr val="tx1"/>
                        </a:solidFill>
                      </a:rPr>
                      <a:pPr/>
                      <a:t>[CATEGORY NAME]</a:t>
                    </a:fld>
                    <a:r>
                      <a:rPr lang="en-US" sz="1000" b="1" baseline="0">
                        <a:solidFill>
                          <a:schemeClr val="tx1"/>
                        </a:solidFill>
                      </a:rPr>
                      <a:t>
</a:t>
                    </a:r>
                    <a:fld id="{D7BFF837-1A54-4485-94C0-6B4AFD6DC100}" type="PERCENTAGE">
                      <a:rPr lang="en-US" sz="1000" b="1" baseline="0">
                        <a:solidFill>
                          <a:schemeClr val="tx1"/>
                        </a:solidFill>
                      </a:rPr>
                      <a:pPr/>
                      <a:t>[PERCENTAGE]</a:t>
                    </a:fld>
                    <a:endParaRPr lang="en-US" sz="1000"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BA5-4927-A2EF-23774155D18B}"/>
                </c:ext>
              </c:extLst>
            </c:dLbl>
            <c:dLbl>
              <c:idx val="2"/>
              <c:tx>
                <c:rich>
                  <a:bodyPr/>
                  <a:lstStyle/>
                  <a:p>
                    <a:fld id="{41C326EA-59A3-4217-812F-B48BE7C6E549}" type="CATEGORYNAME">
                      <a:rPr lang="en-US" sz="1000" b="1">
                        <a:solidFill>
                          <a:schemeClr val="tx1"/>
                        </a:solidFill>
                      </a:rPr>
                      <a:pPr/>
                      <a:t>[CATEGORY NAME]</a:t>
                    </a:fld>
                    <a:r>
                      <a:rPr lang="en-US" sz="1000" b="1" baseline="0">
                        <a:solidFill>
                          <a:schemeClr val="tx1"/>
                        </a:solidFill>
                      </a:rPr>
                      <a:t>
</a:t>
                    </a:r>
                    <a:fld id="{59550086-6400-4105-B1DF-D43A78D14E31}" type="PERCENTAGE">
                      <a:rPr lang="en-US" sz="1000" b="1" baseline="0">
                        <a:solidFill>
                          <a:schemeClr val="tx1"/>
                        </a:solidFill>
                      </a:rPr>
                      <a:pPr/>
                      <a:t>[PERCENTAGE]</a:t>
                    </a:fld>
                    <a:endParaRPr lang="en-US" sz="1000" b="1"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BA5-4927-A2EF-23774155D18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3"/>
                <c:pt idx="0">
                  <c:v>Cancelled</c:v>
                </c:pt>
                <c:pt idx="1">
                  <c:v>Delivered</c:v>
                </c:pt>
                <c:pt idx="2">
                  <c:v>Pending</c:v>
                </c:pt>
              </c:strCache>
            </c:strRef>
          </c:cat>
          <c:val>
            <c:numRef>
              <c:f>'order status'!$B$4:$B$7</c:f>
              <c:numCache>
                <c:formatCode>General</c:formatCode>
                <c:ptCount val="3"/>
                <c:pt idx="0">
                  <c:v>78</c:v>
                </c:pt>
                <c:pt idx="1">
                  <c:v>122</c:v>
                </c:pt>
                <c:pt idx="2">
                  <c:v>30</c:v>
                </c:pt>
              </c:numCache>
            </c:numRef>
          </c:val>
          <c:extLst>
            <c:ext xmlns:c16="http://schemas.microsoft.com/office/drawing/2014/chart" uri="{C3380CC4-5D6E-409C-BE32-E72D297353CC}">
              <c16:uniqueId val="{00000000-9BA5-4927-A2EF-23774155D18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441960</xdr:colOff>
      <xdr:row>0</xdr:row>
      <xdr:rowOff>106680</xdr:rowOff>
    </xdr:from>
    <xdr:to>
      <xdr:col>10</xdr:col>
      <xdr:colOff>53340</xdr:colOff>
      <xdr:row>4</xdr:row>
      <xdr:rowOff>0</xdr:rowOff>
    </xdr:to>
    <xdr:sp macro="" textlink="">
      <xdr:nvSpPr>
        <xdr:cNvPr id="12" name="Rectangle: Rounded Corners 11">
          <a:extLst>
            <a:ext uri="{FF2B5EF4-FFF2-40B4-BE49-F238E27FC236}">
              <a16:creationId xmlns:a16="http://schemas.microsoft.com/office/drawing/2014/main" id="{5F2BDB62-C792-8105-FD5C-FA1E178D0D77}"/>
            </a:ext>
          </a:extLst>
        </xdr:cNvPr>
        <xdr:cNvSpPr/>
      </xdr:nvSpPr>
      <xdr:spPr>
        <a:xfrm>
          <a:off x="441960" y="106680"/>
          <a:ext cx="5707380" cy="6248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tx1"/>
              </a:solidFill>
              <a:latin typeface="+mj-lt"/>
            </a:rPr>
            <a:t>Food Sales Analysis</a:t>
          </a:r>
        </a:p>
      </xdr:txBody>
    </xdr:sp>
    <xdr:clientData/>
  </xdr:twoCellAnchor>
  <xdr:twoCellAnchor editAs="oneCell">
    <xdr:from>
      <xdr:col>0</xdr:col>
      <xdr:colOff>175260</xdr:colOff>
      <xdr:row>0</xdr:row>
      <xdr:rowOff>0</xdr:rowOff>
    </xdr:from>
    <xdr:to>
      <xdr:col>1</xdr:col>
      <xdr:colOff>403860</xdr:colOff>
      <xdr:row>4</xdr:row>
      <xdr:rowOff>106680</xdr:rowOff>
    </xdr:to>
    <xdr:pic>
      <xdr:nvPicPr>
        <xdr:cNvPr id="14" name="Picture 13" descr="Hungry Max The Husky">
          <a:extLst>
            <a:ext uri="{FF2B5EF4-FFF2-40B4-BE49-F238E27FC236}">
              <a16:creationId xmlns:a16="http://schemas.microsoft.com/office/drawing/2014/main" id="{F1EBD0D7-B1B4-1064-DBD8-039048123A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260" y="0"/>
          <a:ext cx="838200" cy="838200"/>
        </a:xfrm>
        <a:prstGeom prst="rect">
          <a:avLst/>
        </a:prstGeom>
      </xdr:spPr>
    </xdr:pic>
    <xdr:clientData/>
  </xdr:twoCellAnchor>
  <xdr:twoCellAnchor>
    <xdr:from>
      <xdr:col>10</xdr:col>
      <xdr:colOff>136072</xdr:colOff>
      <xdr:row>2</xdr:row>
      <xdr:rowOff>163286</xdr:rowOff>
    </xdr:from>
    <xdr:to>
      <xdr:col>15</xdr:col>
      <xdr:colOff>417287</xdr:colOff>
      <xdr:row>16</xdr:row>
      <xdr:rowOff>9072</xdr:rowOff>
    </xdr:to>
    <xdr:graphicFrame macro="">
      <xdr:nvGraphicFramePr>
        <xdr:cNvPr id="16" name="Chart 15">
          <a:extLst>
            <a:ext uri="{FF2B5EF4-FFF2-40B4-BE49-F238E27FC236}">
              <a16:creationId xmlns:a16="http://schemas.microsoft.com/office/drawing/2014/main" id="{75AB8BEA-1FEE-42D4-B94E-32EB5F093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450667</xdr:colOff>
      <xdr:row>2</xdr:row>
      <xdr:rowOff>145142</xdr:rowOff>
    </xdr:from>
    <xdr:to>
      <xdr:col>27</xdr:col>
      <xdr:colOff>308428</xdr:colOff>
      <xdr:row>15</xdr:row>
      <xdr:rowOff>54427</xdr:rowOff>
    </xdr:to>
    <xdr:graphicFrame macro="">
      <xdr:nvGraphicFramePr>
        <xdr:cNvPr id="17" name="Chart 16">
          <a:extLst>
            <a:ext uri="{FF2B5EF4-FFF2-40B4-BE49-F238E27FC236}">
              <a16:creationId xmlns:a16="http://schemas.microsoft.com/office/drawing/2014/main" id="{4C34D92A-416E-479F-9D28-CB8ED14F4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359123</xdr:colOff>
      <xdr:row>17</xdr:row>
      <xdr:rowOff>53894</xdr:rowOff>
    </xdr:from>
    <xdr:to>
      <xdr:col>12</xdr:col>
      <xdr:colOff>549622</xdr:colOff>
      <xdr:row>31</xdr:row>
      <xdr:rowOff>144609</xdr:rowOff>
    </xdr:to>
    <xdr:graphicFrame macro="">
      <xdr:nvGraphicFramePr>
        <xdr:cNvPr id="2" name="Chart 1">
          <a:extLst>
            <a:ext uri="{FF2B5EF4-FFF2-40B4-BE49-F238E27FC236}">
              <a16:creationId xmlns:a16="http://schemas.microsoft.com/office/drawing/2014/main" id="{B4A7460D-49BA-4687-BFFA-D0590A069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239486</xdr:colOff>
      <xdr:row>17</xdr:row>
      <xdr:rowOff>133532</xdr:rowOff>
    </xdr:from>
    <xdr:to>
      <xdr:col>5</xdr:col>
      <xdr:colOff>63500</xdr:colOff>
      <xdr:row>30</xdr:row>
      <xdr:rowOff>63500</xdr:rowOff>
    </xdr:to>
    <xdr:graphicFrame macro="">
      <xdr:nvGraphicFramePr>
        <xdr:cNvPr id="3" name="Chart 2">
          <a:extLst>
            <a:ext uri="{FF2B5EF4-FFF2-40B4-BE49-F238E27FC236}">
              <a16:creationId xmlns:a16="http://schemas.microsoft.com/office/drawing/2014/main" id="{924222EF-966F-4515-A918-7A41405B3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550817</xdr:colOff>
      <xdr:row>2</xdr:row>
      <xdr:rowOff>163286</xdr:rowOff>
    </xdr:from>
    <xdr:to>
      <xdr:col>20</xdr:col>
      <xdr:colOff>335643</xdr:colOff>
      <xdr:row>15</xdr:row>
      <xdr:rowOff>172357</xdr:rowOff>
    </xdr:to>
    <xdr:graphicFrame macro="">
      <xdr:nvGraphicFramePr>
        <xdr:cNvPr id="4" name="Chart 3">
          <a:extLst>
            <a:ext uri="{FF2B5EF4-FFF2-40B4-BE49-F238E27FC236}">
              <a16:creationId xmlns:a16="http://schemas.microsoft.com/office/drawing/2014/main" id="{5FAC7EC0-4C3D-4A02-A263-15B325AA6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313764</xdr:colOff>
      <xdr:row>17</xdr:row>
      <xdr:rowOff>44824</xdr:rowOff>
    </xdr:from>
    <xdr:to>
      <xdr:col>20</xdr:col>
      <xdr:colOff>254960</xdr:colOff>
      <xdr:row>32</xdr:row>
      <xdr:rowOff>98825</xdr:rowOff>
    </xdr:to>
    <xdr:graphicFrame macro="">
      <xdr:nvGraphicFramePr>
        <xdr:cNvPr id="5" name="Chart 4">
          <a:extLst>
            <a:ext uri="{FF2B5EF4-FFF2-40B4-BE49-F238E27FC236}">
              <a16:creationId xmlns:a16="http://schemas.microsoft.com/office/drawing/2014/main" id="{EACF8F3B-4D8F-45D8-9202-37614BB5B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508000</xdr:colOff>
      <xdr:row>16</xdr:row>
      <xdr:rowOff>163286</xdr:rowOff>
    </xdr:from>
    <xdr:to>
      <xdr:col>27</xdr:col>
      <xdr:colOff>172357</xdr:colOff>
      <xdr:row>31</xdr:row>
      <xdr:rowOff>63499</xdr:rowOff>
    </xdr:to>
    <xdr:graphicFrame macro="">
      <xdr:nvGraphicFramePr>
        <xdr:cNvPr id="6" name="Chart 5">
          <a:extLst>
            <a:ext uri="{FF2B5EF4-FFF2-40B4-BE49-F238E27FC236}">
              <a16:creationId xmlns:a16="http://schemas.microsoft.com/office/drawing/2014/main" id="{B000BE72-FAC0-432F-8C02-5399E872D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517070</xdr:colOff>
      <xdr:row>8</xdr:row>
      <xdr:rowOff>90714</xdr:rowOff>
    </xdr:from>
    <xdr:to>
      <xdr:col>2</xdr:col>
      <xdr:colOff>517070</xdr:colOff>
      <xdr:row>11</xdr:row>
      <xdr:rowOff>0</xdr:rowOff>
    </xdr:to>
    <xdr:sp macro="" textlink="">
      <xdr:nvSpPr>
        <xdr:cNvPr id="8" name="Rectangle 7">
          <a:extLst>
            <a:ext uri="{FF2B5EF4-FFF2-40B4-BE49-F238E27FC236}">
              <a16:creationId xmlns:a16="http://schemas.microsoft.com/office/drawing/2014/main" id="{B24C6F59-50E6-2C88-F188-7F8BB835E7ED}"/>
            </a:ext>
          </a:extLst>
        </xdr:cNvPr>
        <xdr:cNvSpPr/>
      </xdr:nvSpPr>
      <xdr:spPr>
        <a:xfrm>
          <a:off x="517070" y="1542143"/>
          <a:ext cx="1260929" cy="45357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rPr>
            <a:t>Total</a:t>
          </a:r>
          <a:r>
            <a:rPr lang="en-IN" sz="1200" baseline="0">
              <a:solidFill>
                <a:schemeClr val="tx1"/>
              </a:solidFill>
            </a:rPr>
            <a:t> orders</a:t>
          </a:r>
          <a:endParaRPr lang="en-IN" sz="1200">
            <a:solidFill>
              <a:schemeClr val="tx1"/>
            </a:solidFill>
          </a:endParaRPr>
        </a:p>
      </xdr:txBody>
    </xdr:sp>
    <xdr:clientData/>
  </xdr:twoCellAnchor>
  <xdr:twoCellAnchor>
    <xdr:from>
      <xdr:col>0</xdr:col>
      <xdr:colOff>489857</xdr:colOff>
      <xdr:row>12</xdr:row>
      <xdr:rowOff>136071</xdr:rowOff>
    </xdr:from>
    <xdr:to>
      <xdr:col>2</xdr:col>
      <xdr:colOff>544285</xdr:colOff>
      <xdr:row>15</xdr:row>
      <xdr:rowOff>45357</xdr:rowOff>
    </xdr:to>
    <xdr:sp macro="" textlink="">
      <xdr:nvSpPr>
        <xdr:cNvPr id="9" name="Rectangle 8">
          <a:extLst>
            <a:ext uri="{FF2B5EF4-FFF2-40B4-BE49-F238E27FC236}">
              <a16:creationId xmlns:a16="http://schemas.microsoft.com/office/drawing/2014/main" id="{8047840C-AFF1-1982-E843-6C266AFC285E}"/>
            </a:ext>
          </a:extLst>
        </xdr:cNvPr>
        <xdr:cNvSpPr/>
      </xdr:nvSpPr>
      <xdr:spPr>
        <a:xfrm>
          <a:off x="489857" y="2313214"/>
          <a:ext cx="1315357" cy="4535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tx1"/>
              </a:solidFill>
            </a:rPr>
            <a:t>  Avg </a:t>
          </a:r>
          <a:r>
            <a:rPr lang="en-IN" sz="1100">
              <a:solidFill>
                <a:schemeClr val="tx1"/>
              </a:solidFill>
            </a:rPr>
            <a:t>Delivery</a:t>
          </a:r>
          <a:r>
            <a:rPr lang="en-IN" sz="1100" baseline="0">
              <a:solidFill>
                <a:schemeClr val="tx1"/>
              </a:solidFill>
            </a:rPr>
            <a:t> Time</a:t>
          </a:r>
          <a:endParaRPr lang="en-IN" sz="1100">
            <a:solidFill>
              <a:schemeClr val="tx1"/>
            </a:solidFill>
          </a:endParaRPr>
        </a:p>
      </xdr:txBody>
    </xdr:sp>
    <xdr:clientData/>
  </xdr:twoCellAnchor>
  <xdr:twoCellAnchor editAs="oneCell">
    <xdr:from>
      <xdr:col>6</xdr:col>
      <xdr:colOff>443413</xdr:colOff>
      <xdr:row>5</xdr:row>
      <xdr:rowOff>23223</xdr:rowOff>
    </xdr:from>
    <xdr:to>
      <xdr:col>9</xdr:col>
      <xdr:colOff>448855</xdr:colOff>
      <xdr:row>14</xdr:row>
      <xdr:rowOff>136072</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B8AFB7F-FA89-FEC1-EE93-70020CBBEB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35484" y="930366"/>
              <a:ext cx="1828800" cy="1745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362858</xdr:colOff>
      <xdr:row>5</xdr:row>
      <xdr:rowOff>18143</xdr:rowOff>
    </xdr:from>
    <xdr:to>
      <xdr:col>6</xdr:col>
      <xdr:colOff>358141</xdr:colOff>
      <xdr:row>15</xdr:row>
      <xdr:rowOff>117928</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C9C4D7D5-FBAF-FE97-006F-F0465DD0E22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231572" y="925286"/>
              <a:ext cx="1818640" cy="1914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508000</xdr:colOff>
      <xdr:row>5</xdr:row>
      <xdr:rowOff>27215</xdr:rowOff>
    </xdr:from>
    <xdr:to>
      <xdr:col>2</xdr:col>
      <xdr:colOff>526143</xdr:colOff>
      <xdr:row>7</xdr:row>
      <xdr:rowOff>36287</xdr:rowOff>
    </xdr:to>
    <xdr:sp macro="" textlink="">
      <xdr:nvSpPr>
        <xdr:cNvPr id="13" name="Rectangle 12">
          <a:extLst>
            <a:ext uri="{FF2B5EF4-FFF2-40B4-BE49-F238E27FC236}">
              <a16:creationId xmlns:a16="http://schemas.microsoft.com/office/drawing/2014/main" id="{BC65E219-2734-C242-5429-7D490D902AA2}"/>
            </a:ext>
          </a:extLst>
        </xdr:cNvPr>
        <xdr:cNvSpPr/>
      </xdr:nvSpPr>
      <xdr:spPr>
        <a:xfrm>
          <a:off x="508000" y="934358"/>
          <a:ext cx="1279072" cy="37192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KPI</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205740</xdr:colOff>
      <xdr:row>4</xdr:row>
      <xdr:rowOff>140970</xdr:rowOff>
    </xdr:from>
    <xdr:to>
      <xdr:col>12</xdr:col>
      <xdr:colOff>434340</xdr:colOff>
      <xdr:row>19</xdr:row>
      <xdr:rowOff>140970</xdr:rowOff>
    </xdr:to>
    <xdr:graphicFrame macro="">
      <xdr:nvGraphicFramePr>
        <xdr:cNvPr id="2" name="Chart 1">
          <a:extLst>
            <a:ext uri="{FF2B5EF4-FFF2-40B4-BE49-F238E27FC236}">
              <a16:creationId xmlns:a16="http://schemas.microsoft.com/office/drawing/2014/main" id="{F47EE6D4-6F9E-E084-8CDF-744035AEF3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167640</xdr:colOff>
      <xdr:row>6</xdr:row>
      <xdr:rowOff>41910</xdr:rowOff>
    </xdr:from>
    <xdr:to>
      <xdr:col>10</xdr:col>
      <xdr:colOff>472440</xdr:colOff>
      <xdr:row>21</xdr:row>
      <xdr:rowOff>41910</xdr:rowOff>
    </xdr:to>
    <xdr:graphicFrame macro="">
      <xdr:nvGraphicFramePr>
        <xdr:cNvPr id="2" name="Chart 1">
          <a:extLst>
            <a:ext uri="{FF2B5EF4-FFF2-40B4-BE49-F238E27FC236}">
              <a16:creationId xmlns:a16="http://schemas.microsoft.com/office/drawing/2014/main" id="{DCC5B8FC-91DD-0C0D-21EF-DEABE6890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3" name="Chart 2">
          <a:extLst>
            <a:ext uri="{FF2B5EF4-FFF2-40B4-BE49-F238E27FC236}">
              <a16:creationId xmlns:a16="http://schemas.microsoft.com/office/drawing/2014/main" id="{2E220813-42DC-7B64-D9DE-ED86F9653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289560</xdr:colOff>
      <xdr:row>6</xdr:row>
      <xdr:rowOff>41910</xdr:rowOff>
    </xdr:from>
    <xdr:to>
      <xdr:col>10</xdr:col>
      <xdr:colOff>533400</xdr:colOff>
      <xdr:row>21</xdr:row>
      <xdr:rowOff>41910</xdr:rowOff>
    </xdr:to>
    <xdr:graphicFrame macro="">
      <xdr:nvGraphicFramePr>
        <xdr:cNvPr id="2" name="Chart 1">
          <a:extLst>
            <a:ext uri="{FF2B5EF4-FFF2-40B4-BE49-F238E27FC236}">
              <a16:creationId xmlns:a16="http://schemas.microsoft.com/office/drawing/2014/main" id="{5B860CCE-D117-CFF6-EB72-EB0327FC5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320040</xdr:colOff>
      <xdr:row>4</xdr:row>
      <xdr:rowOff>19050</xdr:rowOff>
    </xdr:from>
    <xdr:to>
      <xdr:col>13</xdr:col>
      <xdr:colOff>281940</xdr:colOff>
      <xdr:row>20</xdr:row>
      <xdr:rowOff>91440</xdr:rowOff>
    </xdr:to>
    <xdr:graphicFrame macro="">
      <xdr:nvGraphicFramePr>
        <xdr:cNvPr id="2" name="Chart 1">
          <a:extLst>
            <a:ext uri="{FF2B5EF4-FFF2-40B4-BE49-F238E27FC236}">
              <a16:creationId xmlns:a16="http://schemas.microsoft.com/office/drawing/2014/main" id="{90CAF18C-34E1-F0B3-3B85-A40D497B5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106680</xdr:colOff>
      <xdr:row>6</xdr:row>
      <xdr:rowOff>41910</xdr:rowOff>
    </xdr:from>
    <xdr:to>
      <xdr:col>13</xdr:col>
      <xdr:colOff>411480</xdr:colOff>
      <xdr:row>21</xdr:row>
      <xdr:rowOff>41910</xdr:rowOff>
    </xdr:to>
    <xdr:graphicFrame macro="">
      <xdr:nvGraphicFramePr>
        <xdr:cNvPr id="2" name="Chart 1">
          <a:extLst>
            <a:ext uri="{FF2B5EF4-FFF2-40B4-BE49-F238E27FC236}">
              <a16:creationId xmlns:a16="http://schemas.microsoft.com/office/drawing/2014/main" id="{07B3D7EB-EEE1-3B8F-0234-01D290937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99060</xdr:colOff>
      <xdr:row>6</xdr:row>
      <xdr:rowOff>41910</xdr:rowOff>
    </xdr:from>
    <xdr:to>
      <xdr:col>10</xdr:col>
      <xdr:colOff>403860</xdr:colOff>
      <xdr:row>21</xdr:row>
      <xdr:rowOff>41910</xdr:rowOff>
    </xdr:to>
    <xdr:graphicFrame macro="">
      <xdr:nvGraphicFramePr>
        <xdr:cNvPr id="2" name="Chart 1">
          <a:extLst>
            <a:ext uri="{FF2B5EF4-FFF2-40B4-BE49-F238E27FC236}">
              <a16:creationId xmlns:a16="http://schemas.microsoft.com/office/drawing/2014/main" id="{A855A025-EB9D-ECE8-BB77-99E5F4791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533400</xdr:colOff>
      <xdr:row>6</xdr:row>
      <xdr:rowOff>41910</xdr:rowOff>
    </xdr:from>
    <xdr:to>
      <xdr:col>11</xdr:col>
      <xdr:colOff>228600</xdr:colOff>
      <xdr:row>21</xdr:row>
      <xdr:rowOff>41910</xdr:rowOff>
    </xdr:to>
    <xdr:graphicFrame macro="">
      <xdr:nvGraphicFramePr>
        <xdr:cNvPr id="2" name="Chart 1">
          <a:extLst>
            <a:ext uri="{FF2B5EF4-FFF2-40B4-BE49-F238E27FC236}">
              <a16:creationId xmlns:a16="http://schemas.microsoft.com/office/drawing/2014/main" id="{DD1A53FF-F7F6-4D53-2CCF-3B2050F7C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0.384401967596" createdVersion="8" refreshedVersion="8" minRefreshableVersion="3" recordCount="230" xr:uid="{E4014D7B-12A0-45F2-A923-357BBA0ABFF0}">
  <cacheSource type="worksheet">
    <worksheetSource ref="A1:N231" sheet="cleaned data"/>
  </cacheSource>
  <cacheFields count="16">
    <cacheField name="Order_ID" numFmtId="0">
      <sharedItems count="230">
        <s v="FD00003"/>
        <s v="FD00014"/>
        <s v="FD00033"/>
        <s v="FD00035"/>
        <s v="FD00046"/>
        <s v="FD00052"/>
        <s v="FD00055"/>
        <s v="FD00074"/>
        <s v="FD00081"/>
        <s v="FD00084"/>
        <s v="FD00085"/>
        <s v="FD00088"/>
        <s v="FD00096"/>
        <s v="FD00100"/>
        <s v="FD00107"/>
        <s v="FD00121"/>
        <s v="FD00134"/>
        <s v="FD00139"/>
        <s v="FD00151"/>
        <s v="FD00172"/>
        <s v="FD00177"/>
        <s v="FD00185"/>
        <s v="FD00194"/>
        <s v="FD00207"/>
        <s v="FD00209"/>
        <s v="FD00210"/>
        <s v="FD00215"/>
        <s v="FD00219"/>
        <s v="FD00224"/>
        <s v="FD00226"/>
        <s v="FD00245"/>
        <s v="FD00253"/>
        <s v="FD00258"/>
        <s v="FD00262"/>
        <s v="FD00266"/>
        <s v="FD00268"/>
        <s v="FD00275"/>
        <s v="FD00278"/>
        <s v="FD00279"/>
        <s v="FD00285"/>
        <s v="FD00291"/>
        <s v="FD00306"/>
        <s v="FD00317"/>
        <s v="FD00320"/>
        <s v="FD00333"/>
        <s v="FD00334"/>
        <s v="FD00358"/>
        <s v="FD00360"/>
        <s v="FD00366"/>
        <s v="FD00376"/>
        <s v="FD00377"/>
        <s v="FD00381"/>
        <s v="FD00397"/>
        <s v="FD00399"/>
        <s v="FD00401"/>
        <s v="FD00411"/>
        <s v="FD00413"/>
        <s v="FD00427"/>
        <s v="FD00431"/>
        <s v="FD00435"/>
        <s v="FD00450"/>
        <s v="FD00455"/>
        <s v="FD00457"/>
        <s v="FD00464"/>
        <s v="FD00466"/>
        <s v="FD00476"/>
        <s v="FD00478"/>
        <s v="FD00486"/>
        <s v="FD00492"/>
        <s v="FD00497"/>
        <s v="FD00505"/>
        <s v="FD00517"/>
        <s v="FD00518"/>
        <s v="FD00519"/>
        <s v="FD00526"/>
        <s v="FD00533"/>
        <s v="FD00542"/>
        <s v="FD00559"/>
        <s v="FD00571"/>
        <s v="FD00578"/>
        <s v="FD00582"/>
        <s v="FD00590"/>
        <s v="FD00600"/>
        <s v="FD00605"/>
        <s v="FD00606"/>
        <s v="FD00613"/>
        <s v="FD00618"/>
        <s v="FD00619"/>
        <s v="FD00623"/>
        <s v="FD00624"/>
        <s v="FD00629"/>
        <s v="FD00649"/>
        <s v="FD00657"/>
        <s v="FD00664"/>
        <s v="FD00667"/>
        <s v="FD00674"/>
        <s v="FD00675"/>
        <s v="FD00677"/>
        <s v="FD00687"/>
        <s v="FD00695"/>
        <s v="FD00698"/>
        <s v="FD00700"/>
        <s v="FD00717"/>
        <s v="FD00731"/>
        <s v="FD00734"/>
        <s v="FD00742"/>
        <s v="FD00747"/>
        <s v="FD00759"/>
        <s v="FD00764"/>
        <s v="FD00765"/>
        <s v="FD00776"/>
        <s v="FD00780"/>
        <s v="FD00782"/>
        <s v="FD00784"/>
        <s v="FD00805"/>
        <s v="FD00817"/>
        <s v="FD00833"/>
        <s v="FD00838"/>
        <s v="FD00842"/>
        <s v="FD00846"/>
        <s v="FD00848"/>
        <s v="FD00856"/>
        <s v="FD00858"/>
        <s v="FD00864"/>
        <s v="FD00873"/>
        <s v="FD00875"/>
        <s v="FD00876"/>
        <s v="FD00878"/>
        <s v="FD00887"/>
        <s v="FD00893"/>
        <s v="FD00913"/>
        <s v="FD00920"/>
        <s v="FD00921"/>
        <s v="FD00924"/>
        <s v="FD00929"/>
        <s v="FD00930"/>
        <s v="FD00933"/>
        <s v="FD00936"/>
        <s v="FD00938"/>
        <s v="FD00939"/>
        <s v="FD00947"/>
        <s v="FD00950"/>
        <s v="FD00958"/>
        <s v="FD00961"/>
        <s v="FD00964"/>
        <s v="FD00970"/>
        <s v="FD00971"/>
        <s v="FD00974"/>
        <s v="FD00978"/>
        <s v="FD00981"/>
        <s v="FD00988"/>
        <s v="FD00992"/>
        <s v="FD00998"/>
        <s v="FD01002"/>
        <s v="FD01010"/>
        <s v="FD01015"/>
        <s v="FD01018"/>
        <s v="FD01029"/>
        <s v="FD01040"/>
        <s v="FD01045"/>
        <s v="FD01049"/>
        <s v="FD01055"/>
        <s v="FD01056"/>
        <s v="FD01060"/>
        <s v="FD01067"/>
        <s v="FD01068"/>
        <s v="FD01072"/>
        <s v="FD01073"/>
        <s v="FD01077"/>
        <s v="FD01078"/>
        <s v="FD01086"/>
        <s v="FD01101"/>
        <s v="FD01117"/>
        <s v="FD01130"/>
        <s v="FD01132"/>
        <s v="FD01134"/>
        <s v="FD01135"/>
        <s v="FD01137"/>
        <s v="FD01146"/>
        <s v="FD01147"/>
        <s v="FD01148"/>
        <s v="FD01151"/>
        <s v="FD01159"/>
        <s v="FD01160"/>
        <s v="FD01164"/>
        <s v="FD01165"/>
        <s v="FD01183"/>
        <s v="FD01188"/>
        <s v="FD01190"/>
        <s v="FD01193"/>
        <s v="FD01194"/>
        <s v="FD01210"/>
        <s v="FD01211"/>
        <s v="FD01219"/>
        <s v="FD01242"/>
        <s v="FD01251"/>
        <s v="FD01269"/>
        <s v="FD01276"/>
        <s v="FD01281"/>
        <s v="FD01292"/>
        <s v="FD01299"/>
        <s v="FD01307"/>
        <s v="FD01313"/>
        <s v="FD01322"/>
        <s v="FD01342"/>
        <s v="FD01346"/>
        <s v="FD01347"/>
        <s v="FD01351"/>
        <s v="FD01355"/>
        <s v="FD01362"/>
        <s v="FD01372"/>
        <s v="FD01379"/>
        <s v="FD01385"/>
        <s v="FD01390"/>
        <s v="FD01396"/>
        <s v="FD01401"/>
        <s v="FD01404"/>
        <s v="FD01423"/>
        <s v="FD01424"/>
        <s v="FD01434"/>
        <s v="FD01437"/>
        <s v="FD01439"/>
        <s v="FD01447"/>
        <s v="FD01455"/>
        <s v="FD01456"/>
        <s v="FD01468"/>
        <s v="FD01474"/>
        <s v="FD01479"/>
        <s v="FD01487"/>
        <s v="FD01495"/>
      </sharedItems>
    </cacheField>
    <cacheField name="Customer_name" numFmtId="0">
      <sharedItems count="7">
        <s v="Amit Sharma"/>
        <s v="Sneha Joshi"/>
        <s v="Priya Patil"/>
        <s v="Anjali Verma"/>
        <s v="Neha Kale"/>
        <s v="Rahul Singh"/>
        <s v="Rohan"/>
      </sharedItems>
    </cacheField>
    <cacheField name="City" numFmtId="0">
      <sharedItems count="6">
        <s v="Hyderabad"/>
        <s v="Nagpur"/>
        <s v="Mumbai"/>
        <s v="Pune"/>
        <s v="Bangalore"/>
        <s v="Delhi"/>
      </sharedItems>
    </cacheField>
    <cacheField name="Restaurant" numFmtId="0">
      <sharedItems count="6">
        <s v="Tandoori Treat"/>
        <s v="Burger Point"/>
        <s v="Pizza Corner"/>
        <s v="Foodiez"/>
        <s v="Spice Hub"/>
        <s v="Urban Bites"/>
      </sharedItems>
    </cacheField>
    <cacheField name="Category" numFmtId="0">
      <sharedItems count="5">
        <s v="Desserts"/>
        <s v="Fast Food"/>
        <s v="Chinese"/>
        <s v="Indian"/>
        <s v="Pizza"/>
      </sharedItems>
    </cacheField>
    <cacheField name="Order_Amount" numFmtId="2">
      <sharedItems containsSemiMixedTypes="0" containsString="0" containsNumber="1" containsInteger="1" minValue="165" maxValue="2993"/>
    </cacheField>
    <cacheField name="Quantity" numFmtId="2">
      <sharedItems containsSemiMixedTypes="0" containsString="0" containsNumber="1" containsInteger="1" minValue="1" maxValue="5"/>
    </cacheField>
    <cacheField name="Customer_Rating" numFmtId="2">
      <sharedItems containsSemiMixedTypes="0" containsString="0" containsNumber="1" containsInteger="1" minValue="1" maxValue="5"/>
    </cacheField>
    <cacheField name="Payment_Mode" numFmtId="0">
      <sharedItems count="4">
        <s v="UPI"/>
        <s v="Wallet"/>
        <s v="Card"/>
        <s v="Cash"/>
      </sharedItems>
    </cacheField>
    <cacheField name="Order_Status" numFmtId="0">
      <sharedItems count="3">
        <s v="Delivered"/>
        <s v="Cancelled"/>
        <s v="Pending"/>
      </sharedItems>
    </cacheField>
    <cacheField name="Order_Date" numFmtId="14">
      <sharedItems containsSemiMixedTypes="0" containsNonDate="0" containsDate="1" containsString="0" minDate="2025-01-01T00:00:00" maxDate="2025-12-05T00:00:00" count="115">
        <d v="2025-03-26T00:00:00"/>
        <d v="2025-04-28T00:00:00"/>
        <d v="2025-03-24T00:00:00"/>
        <d v="2025-03-31T00:00:00"/>
        <d v="2025-01-17T00:00:00"/>
        <d v="2025-01-23T00:00:00"/>
        <d v="2025-11-04T00:00:00"/>
        <d v="2025-03-06T00:00:00"/>
        <d v="2025-04-27T00:00:00"/>
        <d v="2025-03-20T00:00:00"/>
        <d v="2025-02-02T00:00:00"/>
        <d v="2025-04-16T00:00:00"/>
        <d v="2025-04-24T00:00:00"/>
        <d v="2025-03-13T00:00:00"/>
        <d v="2025-04-26T00:00:00"/>
        <d v="2025-01-27T00:00:00"/>
        <d v="2025-04-15T00:00:00"/>
        <d v="2025-02-26T00:00:00"/>
        <d v="2025-03-25T00:00:00"/>
        <d v="2025-01-05T00:00:00"/>
        <d v="2025-01-14T00:00:00"/>
        <d v="2025-03-21T00:00:00"/>
        <d v="2025-01-07T00:00:00"/>
        <d v="2025-02-21T00:00:00"/>
        <d v="2025-01-28T00:00:00"/>
        <d v="2025-04-10T00:00:00"/>
        <d v="2025-04-09T00:00:00"/>
        <d v="2025-01-26T00:00:00"/>
        <d v="2025-04-25T00:00:00"/>
        <d v="2025-01-31T00:00:00"/>
        <d v="2025-04-20T00:00:00"/>
        <d v="2025-01-02T00:00:00"/>
        <d v="2025-02-06T00:00:00"/>
        <d v="2025-01-10T00:00:00"/>
        <d v="2025-06-03T00:00:00"/>
        <d v="2025-03-11T00:00:00"/>
        <d v="2025-02-19T00:00:00"/>
        <d v="2025-02-22T00:00:00"/>
        <d v="2025-04-23T00:00:00"/>
        <d v="2025-04-04T00:00:00"/>
        <d v="2025-02-27T00:00:00"/>
        <d v="2025-02-25T00:00:00"/>
        <d v="2025-03-28T00:00:00"/>
        <d v="2025-04-12T00:00:00"/>
        <d v="2025-04-19T00:00:00"/>
        <d v="2025-03-19T00:00:00"/>
        <d v="2025-01-16T00:00:00"/>
        <d v="2025-04-14T00:00:00"/>
        <d v="2025-01-19T00:00:00"/>
        <d v="2025-07-03T00:00:00"/>
        <d v="2025-04-17T00:00:00"/>
        <d v="2025-01-12T00:00:00"/>
        <d v="2025-03-01T00:00:00"/>
        <d v="2025-03-03T00:00:00"/>
        <d v="2025-10-01T00:00:00"/>
        <d v="2025-02-04T00:00:00"/>
        <d v="2025-02-11T00:00:00"/>
        <d v="2025-02-08T00:00:00"/>
        <d v="2025-10-02T00:00:00"/>
        <d v="2025-03-29T00:00:00"/>
        <d v="2025-01-08T00:00:00"/>
        <d v="2025-03-30T00:00:00"/>
        <d v="2025-03-15T00:00:00"/>
        <d v="2025-03-27T00:00:00"/>
        <d v="2025-02-18T00:00:00"/>
        <d v="2025-02-07T00:00:00"/>
        <d v="2025-03-18T00:00:00"/>
        <d v="2025-01-15T00:00:00"/>
        <d v="2025-03-07T00:00:00"/>
        <d v="2025-04-22T00:00:00"/>
        <d v="2025-02-01T00:00:00"/>
        <d v="2025-01-03T00:00:00"/>
        <d v="2025-05-01T00:00:00"/>
        <d v="2025-01-06T00:00:00"/>
        <d v="2025-01-11T00:00:00"/>
        <d v="2025-09-03T00:00:00"/>
        <d v="2025-01-18T00:00:00"/>
        <d v="2025-03-04T00:00:00"/>
        <d v="2025-08-03T00:00:00"/>
        <d v="2025-03-09T00:00:00"/>
        <d v="2025-04-07T00:00:00"/>
        <d v="2025-02-10T00:00:00"/>
        <d v="2025-02-20T00:00:00"/>
        <d v="2025-02-14T00:00:00"/>
        <d v="2025-10-03T00:00:00"/>
        <d v="2025-12-01T00:00:00"/>
        <d v="2025-04-11T00:00:00"/>
        <d v="2025-01-20T00:00:00"/>
        <d v="2025-03-16T00:00:00"/>
        <d v="2025-03-22T00:00:00"/>
        <d v="2025-07-01T00:00:00"/>
        <d v="2025-04-13T00:00:00"/>
        <d v="2025-03-17T00:00:00"/>
        <d v="2025-12-04T00:00:00"/>
        <d v="2025-01-30T00:00:00"/>
        <d v="2025-02-13T00:00:00"/>
        <d v="2025-12-03T00:00:00"/>
        <d v="2025-02-09T00:00:00"/>
        <d v="2025-01-24T00:00:00"/>
        <d v="2025-02-23T00:00:00"/>
        <d v="2025-03-08T00:00:00"/>
        <d v="2025-04-06T00:00:00"/>
        <d v="2025-06-04T00:00:00"/>
        <d v="2025-01-29T00:00:00"/>
        <d v="2025-03-23T00:00:00"/>
        <d v="2025-01-21T00:00:00"/>
        <d v="2025-04-21T00:00:00"/>
        <d v="2025-03-12T00:00:00"/>
        <d v="2025-01-04T00:00:00"/>
        <d v="2025-01-01T00:00:00"/>
        <d v="2025-09-01T00:00:00"/>
        <d v="2025-04-18T00:00:00"/>
        <d v="2025-02-05T00:00:00"/>
        <d v="2025-03-10T00:00:00"/>
        <d v="2025-09-02T00:00:00"/>
      </sharedItems>
      <fieldGroup par="15"/>
    </cacheField>
    <cacheField name="Phone_Number" numFmtId="2">
      <sharedItems/>
    </cacheField>
    <cacheField name="Email" numFmtId="0">
      <sharedItems/>
    </cacheField>
    <cacheField name="Delivery_Time" numFmtId="0">
      <sharedItems containsSemiMixedTypes="0" containsString="0" containsNumber="1" containsInteger="1" minValue="15" maxValue="90" count="39">
        <n v="49"/>
        <n v="45"/>
        <n v="85"/>
        <n v="20"/>
        <n v="51"/>
        <n v="79"/>
        <n v="28"/>
        <n v="46"/>
        <n v="81"/>
        <n v="63"/>
        <n v="64"/>
        <n v="18"/>
        <n v="53"/>
        <n v="48"/>
        <n v="19"/>
        <n v="56"/>
        <n v="70"/>
        <n v="36"/>
        <n v="55"/>
        <n v="40"/>
        <n v="29"/>
        <n v="15"/>
        <n v="58"/>
        <n v="39"/>
        <n v="65"/>
        <n v="30"/>
        <n v="67"/>
        <n v="31"/>
        <n v="17"/>
        <n v="41"/>
        <n v="88"/>
        <n v="68"/>
        <n v="27"/>
        <n v="66"/>
        <n v="84"/>
        <n v="87"/>
        <n v="22"/>
        <n v="89"/>
        <n v="90"/>
      </sharedItems>
    </cacheField>
    <cacheField name="Days (Order_Date)" numFmtId="0" databaseField="0">
      <fieldGroup base="10">
        <rangePr groupBy="days" startDate="2025-01-01T00:00:00" endDate="2025-12-05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12-2025"/>
        </groupItems>
      </fieldGroup>
    </cacheField>
    <cacheField name="Months (Order_Date)" numFmtId="0" databaseField="0">
      <fieldGroup base="10">
        <rangePr groupBy="months" startDate="2025-01-01T00:00:00" endDate="2025-12-05T00:00:00"/>
        <groupItems count="14">
          <s v="&lt;01-01-2025"/>
          <s v="Jan"/>
          <s v="Feb"/>
          <s v="Mar"/>
          <s v="Apr"/>
          <s v="May"/>
          <s v="Jun"/>
          <s v="Jul"/>
          <s v="Aug"/>
          <s v="Sep"/>
          <s v="Oct"/>
          <s v="Nov"/>
          <s v="Dec"/>
          <s v="&gt;05-12-2025"/>
        </groupItems>
      </fieldGroup>
    </cacheField>
  </cacheFields>
  <extLst>
    <ext xmlns:x14="http://schemas.microsoft.com/office/spreadsheetml/2009/9/main" uri="{725AE2AE-9491-48be-B2B4-4EB974FC3084}">
      <x14:pivotCacheDefinition pivotCacheId="1187059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
  <r>
    <x v="0"/>
    <x v="0"/>
    <x v="0"/>
    <x v="0"/>
    <x v="0"/>
    <n v="422"/>
    <n v="2"/>
    <n v="4"/>
    <x v="0"/>
    <x v="0"/>
    <x v="0"/>
    <s v="8242911821"/>
    <s v="test@gmail.com"/>
    <x v="0"/>
  </r>
  <r>
    <x v="1"/>
    <x v="1"/>
    <x v="1"/>
    <x v="1"/>
    <x v="1"/>
    <n v="349"/>
    <n v="1"/>
    <n v="1"/>
    <x v="1"/>
    <x v="0"/>
    <x v="1"/>
    <s v="9181106786"/>
    <s v="test@gmail.com"/>
    <x v="1"/>
  </r>
  <r>
    <x v="2"/>
    <x v="2"/>
    <x v="0"/>
    <x v="2"/>
    <x v="0"/>
    <n v="268"/>
    <n v="3"/>
    <n v="5"/>
    <x v="0"/>
    <x v="0"/>
    <x v="2"/>
    <s v="9113585139"/>
    <s v="fooduser@yahoo.com"/>
    <x v="0"/>
  </r>
  <r>
    <x v="3"/>
    <x v="3"/>
    <x v="2"/>
    <x v="0"/>
    <x v="2"/>
    <n v="968"/>
    <n v="5"/>
    <n v="5"/>
    <x v="2"/>
    <x v="0"/>
    <x v="3"/>
    <s v="7043598698"/>
    <s v="test@gmail.com"/>
    <x v="0"/>
  </r>
  <r>
    <x v="4"/>
    <x v="0"/>
    <x v="3"/>
    <x v="3"/>
    <x v="2"/>
    <n v="1550"/>
    <n v="1"/>
    <n v="4"/>
    <x v="2"/>
    <x v="0"/>
    <x v="4"/>
    <s v="9570423569"/>
    <s v="test@gmail.com"/>
    <x v="1"/>
  </r>
  <r>
    <x v="5"/>
    <x v="0"/>
    <x v="1"/>
    <x v="4"/>
    <x v="2"/>
    <n v="1635"/>
    <n v="4"/>
    <n v="3"/>
    <x v="3"/>
    <x v="1"/>
    <x v="5"/>
    <s v="8643015259"/>
    <s v="fooduser@yahoo.com"/>
    <x v="1"/>
  </r>
  <r>
    <x v="6"/>
    <x v="1"/>
    <x v="4"/>
    <x v="2"/>
    <x v="3"/>
    <n v="2643"/>
    <n v="3"/>
    <n v="2"/>
    <x v="0"/>
    <x v="2"/>
    <x v="6"/>
    <s v="9489250532"/>
    <s v="test@gmail.com"/>
    <x v="0"/>
  </r>
  <r>
    <x v="7"/>
    <x v="3"/>
    <x v="0"/>
    <x v="2"/>
    <x v="3"/>
    <n v="1550"/>
    <n v="5"/>
    <n v="5"/>
    <x v="0"/>
    <x v="2"/>
    <x v="7"/>
    <s v="9433297890"/>
    <s v="test@gmail.com"/>
    <x v="0"/>
  </r>
  <r>
    <x v="8"/>
    <x v="2"/>
    <x v="0"/>
    <x v="3"/>
    <x v="1"/>
    <n v="756"/>
    <n v="3"/>
    <n v="3"/>
    <x v="1"/>
    <x v="0"/>
    <x v="8"/>
    <s v="9976928440"/>
    <s v="fooduser@yahoo.com"/>
    <x v="0"/>
  </r>
  <r>
    <x v="9"/>
    <x v="4"/>
    <x v="4"/>
    <x v="3"/>
    <x v="1"/>
    <n v="2210"/>
    <n v="3"/>
    <n v="5"/>
    <x v="1"/>
    <x v="0"/>
    <x v="9"/>
    <s v="9450982005"/>
    <s v="test@gmail.com"/>
    <x v="0"/>
  </r>
  <r>
    <x v="10"/>
    <x v="2"/>
    <x v="4"/>
    <x v="3"/>
    <x v="0"/>
    <n v="1550"/>
    <n v="3"/>
    <n v="1"/>
    <x v="1"/>
    <x v="2"/>
    <x v="10"/>
    <s v="7290166087"/>
    <s v="test@gmail.com"/>
    <x v="0"/>
  </r>
  <r>
    <x v="11"/>
    <x v="5"/>
    <x v="5"/>
    <x v="5"/>
    <x v="4"/>
    <n v="1604"/>
    <n v="3"/>
    <n v="2"/>
    <x v="1"/>
    <x v="0"/>
    <x v="11"/>
    <s v="9685698675"/>
    <s v="test@gmail.com"/>
    <x v="0"/>
  </r>
  <r>
    <x v="12"/>
    <x v="3"/>
    <x v="4"/>
    <x v="4"/>
    <x v="1"/>
    <n v="2727"/>
    <n v="4"/>
    <n v="3"/>
    <x v="0"/>
    <x v="0"/>
    <x v="12"/>
    <s v="8297484349"/>
    <s v="fooduser@yahoo.com"/>
    <x v="0"/>
  </r>
  <r>
    <x v="13"/>
    <x v="0"/>
    <x v="2"/>
    <x v="0"/>
    <x v="3"/>
    <n v="1751"/>
    <n v="1"/>
    <n v="3"/>
    <x v="0"/>
    <x v="0"/>
    <x v="13"/>
    <s v="9489256938"/>
    <s v="fooduser@yahoo.com"/>
    <x v="0"/>
  </r>
  <r>
    <x v="14"/>
    <x v="1"/>
    <x v="4"/>
    <x v="2"/>
    <x v="0"/>
    <n v="2951"/>
    <n v="4"/>
    <n v="4"/>
    <x v="0"/>
    <x v="1"/>
    <x v="14"/>
    <s v="9784987769"/>
    <s v="fooduser@yahoo.com"/>
    <x v="0"/>
  </r>
  <r>
    <x v="15"/>
    <x v="3"/>
    <x v="2"/>
    <x v="3"/>
    <x v="3"/>
    <n v="311"/>
    <n v="2"/>
    <n v="4"/>
    <x v="3"/>
    <x v="0"/>
    <x v="15"/>
    <s v="7065857791"/>
    <s v="test@gmail.com"/>
    <x v="1"/>
  </r>
  <r>
    <x v="16"/>
    <x v="4"/>
    <x v="2"/>
    <x v="1"/>
    <x v="2"/>
    <n v="1550"/>
    <n v="2"/>
    <n v="3"/>
    <x v="2"/>
    <x v="0"/>
    <x v="16"/>
    <s v="8377246344"/>
    <s v="fooduser@yahoo.com"/>
    <x v="1"/>
  </r>
  <r>
    <x v="17"/>
    <x v="2"/>
    <x v="0"/>
    <x v="1"/>
    <x v="2"/>
    <n v="1505"/>
    <n v="3"/>
    <n v="5"/>
    <x v="1"/>
    <x v="0"/>
    <x v="17"/>
    <s v="9442426442"/>
    <s v="test@gmail.com"/>
    <x v="0"/>
  </r>
  <r>
    <x v="18"/>
    <x v="3"/>
    <x v="1"/>
    <x v="4"/>
    <x v="2"/>
    <n v="2821"/>
    <n v="3"/>
    <n v="5"/>
    <x v="3"/>
    <x v="0"/>
    <x v="18"/>
    <s v="7408810792"/>
    <s v="fooduser@yahoo.com"/>
    <x v="1"/>
  </r>
  <r>
    <x v="19"/>
    <x v="0"/>
    <x v="0"/>
    <x v="5"/>
    <x v="2"/>
    <n v="2408"/>
    <n v="3"/>
    <n v="5"/>
    <x v="3"/>
    <x v="0"/>
    <x v="19"/>
    <s v="7999109703"/>
    <s v="test@gmail.com"/>
    <x v="0"/>
  </r>
  <r>
    <x v="20"/>
    <x v="4"/>
    <x v="4"/>
    <x v="5"/>
    <x v="3"/>
    <n v="766"/>
    <n v="5"/>
    <n v="1"/>
    <x v="2"/>
    <x v="2"/>
    <x v="20"/>
    <s v="7730596287"/>
    <s v="test@gmail.com"/>
    <x v="2"/>
  </r>
  <r>
    <x v="21"/>
    <x v="6"/>
    <x v="5"/>
    <x v="5"/>
    <x v="4"/>
    <n v="2443"/>
    <n v="3"/>
    <n v="5"/>
    <x v="1"/>
    <x v="1"/>
    <x v="21"/>
    <s v="8699916883"/>
    <s v="test@gmail.com"/>
    <x v="0"/>
  </r>
  <r>
    <x v="22"/>
    <x v="3"/>
    <x v="3"/>
    <x v="5"/>
    <x v="2"/>
    <n v="1622"/>
    <n v="5"/>
    <n v="3"/>
    <x v="0"/>
    <x v="0"/>
    <x v="22"/>
    <s v="9607042021"/>
    <s v="fooduser@yahoo.com"/>
    <x v="0"/>
  </r>
  <r>
    <x v="23"/>
    <x v="4"/>
    <x v="5"/>
    <x v="3"/>
    <x v="4"/>
    <n v="1931"/>
    <n v="2"/>
    <n v="3"/>
    <x v="0"/>
    <x v="0"/>
    <x v="23"/>
    <s v="9138474240"/>
    <s v="test@gmail.com"/>
    <x v="1"/>
  </r>
  <r>
    <x v="24"/>
    <x v="2"/>
    <x v="2"/>
    <x v="1"/>
    <x v="4"/>
    <n v="538"/>
    <n v="4"/>
    <n v="4"/>
    <x v="0"/>
    <x v="0"/>
    <x v="24"/>
    <s v="9985358270"/>
    <s v="fooduser@yahoo.com"/>
    <x v="3"/>
  </r>
  <r>
    <x v="25"/>
    <x v="4"/>
    <x v="5"/>
    <x v="5"/>
    <x v="0"/>
    <n v="2165"/>
    <n v="1"/>
    <n v="3"/>
    <x v="1"/>
    <x v="0"/>
    <x v="25"/>
    <s v="9484872186"/>
    <s v="test@gmail.com"/>
    <x v="0"/>
  </r>
  <r>
    <x v="26"/>
    <x v="1"/>
    <x v="4"/>
    <x v="0"/>
    <x v="3"/>
    <n v="2752"/>
    <n v="4"/>
    <n v="4"/>
    <x v="2"/>
    <x v="0"/>
    <x v="5"/>
    <s v="9300764570"/>
    <s v="fooduser@yahoo.com"/>
    <x v="0"/>
  </r>
  <r>
    <x v="27"/>
    <x v="3"/>
    <x v="4"/>
    <x v="3"/>
    <x v="4"/>
    <n v="279"/>
    <n v="2"/>
    <n v="2"/>
    <x v="0"/>
    <x v="1"/>
    <x v="26"/>
    <s v="7281199333"/>
    <s v="fooduser@yahoo.com"/>
    <x v="1"/>
  </r>
  <r>
    <x v="28"/>
    <x v="5"/>
    <x v="0"/>
    <x v="3"/>
    <x v="1"/>
    <n v="2348"/>
    <n v="5"/>
    <n v="2"/>
    <x v="2"/>
    <x v="0"/>
    <x v="27"/>
    <s v="8533897596"/>
    <s v="test@gmail.com"/>
    <x v="4"/>
  </r>
  <r>
    <x v="29"/>
    <x v="3"/>
    <x v="5"/>
    <x v="0"/>
    <x v="4"/>
    <n v="1569"/>
    <n v="3"/>
    <n v="2"/>
    <x v="2"/>
    <x v="1"/>
    <x v="28"/>
    <s v="9382646055"/>
    <s v="test@gmail.com"/>
    <x v="5"/>
  </r>
  <r>
    <x v="30"/>
    <x v="6"/>
    <x v="3"/>
    <x v="1"/>
    <x v="3"/>
    <n v="2633"/>
    <n v="2"/>
    <n v="2"/>
    <x v="0"/>
    <x v="1"/>
    <x v="0"/>
    <s v="9759091699"/>
    <s v="fooduser@yahoo.com"/>
    <x v="0"/>
  </r>
  <r>
    <x v="31"/>
    <x v="4"/>
    <x v="1"/>
    <x v="5"/>
    <x v="0"/>
    <n v="1944"/>
    <n v="3"/>
    <n v="1"/>
    <x v="3"/>
    <x v="1"/>
    <x v="29"/>
    <s v="7343875431"/>
    <s v="fooduser@yahoo.com"/>
    <x v="6"/>
  </r>
  <r>
    <x v="32"/>
    <x v="2"/>
    <x v="5"/>
    <x v="5"/>
    <x v="3"/>
    <n v="2942"/>
    <n v="5"/>
    <n v="5"/>
    <x v="1"/>
    <x v="1"/>
    <x v="30"/>
    <s v="9295858216"/>
    <s v="fooduser@yahoo.com"/>
    <x v="0"/>
  </r>
  <r>
    <x v="33"/>
    <x v="2"/>
    <x v="1"/>
    <x v="0"/>
    <x v="2"/>
    <n v="1576"/>
    <n v="2"/>
    <n v="4"/>
    <x v="1"/>
    <x v="2"/>
    <x v="31"/>
    <s v="9952970198"/>
    <s v="fooduser@yahoo.com"/>
    <x v="7"/>
  </r>
  <r>
    <x v="34"/>
    <x v="0"/>
    <x v="4"/>
    <x v="2"/>
    <x v="0"/>
    <n v="1550"/>
    <n v="4"/>
    <n v="3"/>
    <x v="3"/>
    <x v="0"/>
    <x v="32"/>
    <s v="9540024260"/>
    <s v="test@gmail.com"/>
    <x v="8"/>
  </r>
  <r>
    <x v="35"/>
    <x v="4"/>
    <x v="2"/>
    <x v="0"/>
    <x v="1"/>
    <n v="1803"/>
    <n v="1"/>
    <n v="5"/>
    <x v="0"/>
    <x v="1"/>
    <x v="33"/>
    <s v="9183682466"/>
    <s v="test@gmail.com"/>
    <x v="0"/>
  </r>
  <r>
    <x v="36"/>
    <x v="6"/>
    <x v="5"/>
    <x v="1"/>
    <x v="3"/>
    <n v="1476"/>
    <n v="3"/>
    <n v="5"/>
    <x v="0"/>
    <x v="0"/>
    <x v="34"/>
    <s v="9997331061"/>
    <s v="fooduser@yahoo.com"/>
    <x v="1"/>
  </r>
  <r>
    <x v="37"/>
    <x v="0"/>
    <x v="1"/>
    <x v="5"/>
    <x v="1"/>
    <n v="1349"/>
    <n v="2"/>
    <n v="4"/>
    <x v="3"/>
    <x v="1"/>
    <x v="35"/>
    <s v="9074582277"/>
    <s v="test@gmail.com"/>
    <x v="9"/>
  </r>
  <r>
    <x v="38"/>
    <x v="6"/>
    <x v="3"/>
    <x v="4"/>
    <x v="2"/>
    <n v="2631"/>
    <n v="1"/>
    <n v="3"/>
    <x v="0"/>
    <x v="0"/>
    <x v="36"/>
    <s v="9811871111"/>
    <s v="test@gmail.com"/>
    <x v="0"/>
  </r>
  <r>
    <x v="39"/>
    <x v="5"/>
    <x v="5"/>
    <x v="0"/>
    <x v="4"/>
    <n v="770"/>
    <n v="1"/>
    <n v="3"/>
    <x v="0"/>
    <x v="2"/>
    <x v="37"/>
    <s v="9883379418"/>
    <s v="test@gmail.com"/>
    <x v="0"/>
  </r>
  <r>
    <x v="40"/>
    <x v="4"/>
    <x v="3"/>
    <x v="1"/>
    <x v="0"/>
    <n v="1550"/>
    <n v="3"/>
    <n v="2"/>
    <x v="0"/>
    <x v="1"/>
    <x v="38"/>
    <s v="9699968591"/>
    <s v="test@gmail.com"/>
    <x v="1"/>
  </r>
  <r>
    <x v="41"/>
    <x v="2"/>
    <x v="5"/>
    <x v="5"/>
    <x v="1"/>
    <n v="1434"/>
    <n v="5"/>
    <n v="3"/>
    <x v="1"/>
    <x v="0"/>
    <x v="37"/>
    <s v="8046645121"/>
    <s v="fooduser@yahoo.com"/>
    <x v="10"/>
  </r>
  <r>
    <x v="42"/>
    <x v="2"/>
    <x v="3"/>
    <x v="3"/>
    <x v="3"/>
    <n v="1791"/>
    <n v="3"/>
    <n v="3"/>
    <x v="3"/>
    <x v="0"/>
    <x v="39"/>
    <s v="9158331864"/>
    <s v="test@gmail.com"/>
    <x v="0"/>
  </r>
  <r>
    <x v="43"/>
    <x v="5"/>
    <x v="1"/>
    <x v="3"/>
    <x v="1"/>
    <n v="2855"/>
    <n v="3"/>
    <n v="2"/>
    <x v="0"/>
    <x v="1"/>
    <x v="40"/>
    <s v="8216751436"/>
    <s v="test@gmail.com"/>
    <x v="11"/>
  </r>
  <r>
    <x v="44"/>
    <x v="2"/>
    <x v="3"/>
    <x v="5"/>
    <x v="4"/>
    <n v="2137"/>
    <n v="1"/>
    <n v="5"/>
    <x v="2"/>
    <x v="1"/>
    <x v="41"/>
    <s v="9458946122"/>
    <s v="test@gmail.com"/>
    <x v="1"/>
  </r>
  <r>
    <x v="45"/>
    <x v="5"/>
    <x v="2"/>
    <x v="0"/>
    <x v="0"/>
    <n v="1550"/>
    <n v="2"/>
    <n v="3"/>
    <x v="3"/>
    <x v="1"/>
    <x v="42"/>
    <s v="7473017075"/>
    <s v="test@gmail.com"/>
    <x v="0"/>
  </r>
  <r>
    <x v="46"/>
    <x v="5"/>
    <x v="2"/>
    <x v="0"/>
    <x v="1"/>
    <n v="1550"/>
    <n v="1"/>
    <n v="4"/>
    <x v="0"/>
    <x v="0"/>
    <x v="43"/>
    <s v="9603673335"/>
    <s v="test@gmail.com"/>
    <x v="12"/>
  </r>
  <r>
    <x v="47"/>
    <x v="2"/>
    <x v="4"/>
    <x v="4"/>
    <x v="0"/>
    <n v="884"/>
    <n v="1"/>
    <n v="2"/>
    <x v="3"/>
    <x v="0"/>
    <x v="44"/>
    <s v="9998458008"/>
    <s v="fooduser@yahoo.com"/>
    <x v="1"/>
  </r>
  <r>
    <x v="48"/>
    <x v="2"/>
    <x v="0"/>
    <x v="3"/>
    <x v="4"/>
    <n v="1550"/>
    <n v="3"/>
    <n v="5"/>
    <x v="2"/>
    <x v="0"/>
    <x v="35"/>
    <s v="9920301073"/>
    <s v="fooduser@yahoo.com"/>
    <x v="0"/>
  </r>
  <r>
    <x v="49"/>
    <x v="6"/>
    <x v="1"/>
    <x v="5"/>
    <x v="0"/>
    <n v="1550"/>
    <n v="1"/>
    <n v="1"/>
    <x v="0"/>
    <x v="2"/>
    <x v="45"/>
    <s v="9168270327"/>
    <s v="fooduser@yahoo.com"/>
    <x v="1"/>
  </r>
  <r>
    <x v="50"/>
    <x v="2"/>
    <x v="4"/>
    <x v="5"/>
    <x v="0"/>
    <n v="2820"/>
    <n v="3"/>
    <n v="2"/>
    <x v="3"/>
    <x v="0"/>
    <x v="46"/>
    <s v="9509661989"/>
    <s v="fooduser@yahoo.com"/>
    <x v="1"/>
  </r>
  <r>
    <x v="51"/>
    <x v="2"/>
    <x v="3"/>
    <x v="5"/>
    <x v="2"/>
    <n v="1550"/>
    <n v="2"/>
    <n v="3"/>
    <x v="0"/>
    <x v="0"/>
    <x v="2"/>
    <s v="8904409842"/>
    <s v="test@gmail.com"/>
    <x v="1"/>
  </r>
  <r>
    <x v="52"/>
    <x v="4"/>
    <x v="3"/>
    <x v="1"/>
    <x v="4"/>
    <n v="1804"/>
    <n v="2"/>
    <n v="3"/>
    <x v="1"/>
    <x v="0"/>
    <x v="47"/>
    <s v="7803982387"/>
    <s v="test@gmail.com"/>
    <x v="13"/>
  </r>
  <r>
    <x v="53"/>
    <x v="5"/>
    <x v="3"/>
    <x v="4"/>
    <x v="3"/>
    <n v="165"/>
    <n v="1"/>
    <n v="4"/>
    <x v="1"/>
    <x v="1"/>
    <x v="48"/>
    <s v="9688903570"/>
    <s v="test@gmail.com"/>
    <x v="0"/>
  </r>
  <r>
    <x v="54"/>
    <x v="2"/>
    <x v="0"/>
    <x v="5"/>
    <x v="4"/>
    <n v="2470"/>
    <n v="1"/>
    <n v="3"/>
    <x v="1"/>
    <x v="0"/>
    <x v="49"/>
    <s v="9349006937"/>
    <s v="fooduser@yahoo.com"/>
    <x v="0"/>
  </r>
  <r>
    <x v="55"/>
    <x v="1"/>
    <x v="2"/>
    <x v="3"/>
    <x v="0"/>
    <n v="2235"/>
    <n v="1"/>
    <n v="1"/>
    <x v="2"/>
    <x v="1"/>
    <x v="50"/>
    <s v="9880083367"/>
    <s v="test@gmail.com"/>
    <x v="0"/>
  </r>
  <r>
    <x v="56"/>
    <x v="2"/>
    <x v="1"/>
    <x v="3"/>
    <x v="0"/>
    <n v="888"/>
    <n v="3"/>
    <n v="3"/>
    <x v="1"/>
    <x v="0"/>
    <x v="51"/>
    <s v="7558617715"/>
    <s v="fooduser@yahoo.com"/>
    <x v="0"/>
  </r>
  <r>
    <x v="57"/>
    <x v="0"/>
    <x v="0"/>
    <x v="0"/>
    <x v="1"/>
    <n v="2562"/>
    <n v="3"/>
    <n v="3"/>
    <x v="0"/>
    <x v="0"/>
    <x v="52"/>
    <s v="8909446514"/>
    <s v="test@gmail.com"/>
    <x v="0"/>
  </r>
  <r>
    <x v="58"/>
    <x v="3"/>
    <x v="2"/>
    <x v="0"/>
    <x v="3"/>
    <n v="1470"/>
    <n v="4"/>
    <n v="3"/>
    <x v="0"/>
    <x v="1"/>
    <x v="27"/>
    <s v="9453502263"/>
    <s v="test@gmail.com"/>
    <x v="0"/>
  </r>
  <r>
    <x v="59"/>
    <x v="1"/>
    <x v="2"/>
    <x v="4"/>
    <x v="1"/>
    <n v="376"/>
    <n v="3"/>
    <n v="5"/>
    <x v="2"/>
    <x v="0"/>
    <x v="53"/>
    <s v="9299633740"/>
    <s v="test@gmail.com"/>
    <x v="0"/>
  </r>
  <r>
    <x v="60"/>
    <x v="4"/>
    <x v="2"/>
    <x v="2"/>
    <x v="0"/>
    <n v="1949"/>
    <n v="3"/>
    <n v="2"/>
    <x v="3"/>
    <x v="0"/>
    <x v="11"/>
    <s v="9128817630"/>
    <s v="fooduser@yahoo.com"/>
    <x v="1"/>
  </r>
  <r>
    <x v="61"/>
    <x v="2"/>
    <x v="2"/>
    <x v="3"/>
    <x v="2"/>
    <n v="775"/>
    <n v="4"/>
    <n v="1"/>
    <x v="1"/>
    <x v="0"/>
    <x v="54"/>
    <s v="8475998631"/>
    <s v="fooduser@yahoo.com"/>
    <x v="14"/>
  </r>
  <r>
    <x v="62"/>
    <x v="0"/>
    <x v="4"/>
    <x v="4"/>
    <x v="3"/>
    <n v="1550"/>
    <n v="3"/>
    <n v="2"/>
    <x v="0"/>
    <x v="1"/>
    <x v="55"/>
    <s v="8537971916"/>
    <s v="test@gmail.com"/>
    <x v="1"/>
  </r>
  <r>
    <x v="63"/>
    <x v="0"/>
    <x v="3"/>
    <x v="5"/>
    <x v="2"/>
    <n v="1503"/>
    <n v="4"/>
    <n v="4"/>
    <x v="1"/>
    <x v="0"/>
    <x v="56"/>
    <s v="9574981389"/>
    <s v="fooduser@yahoo.com"/>
    <x v="1"/>
  </r>
  <r>
    <x v="64"/>
    <x v="6"/>
    <x v="4"/>
    <x v="0"/>
    <x v="3"/>
    <n v="427"/>
    <n v="3"/>
    <n v="3"/>
    <x v="3"/>
    <x v="0"/>
    <x v="17"/>
    <s v="9617328226"/>
    <s v="fooduser@yahoo.com"/>
    <x v="0"/>
  </r>
  <r>
    <x v="65"/>
    <x v="3"/>
    <x v="2"/>
    <x v="4"/>
    <x v="4"/>
    <n v="2960"/>
    <n v="2"/>
    <n v="5"/>
    <x v="3"/>
    <x v="2"/>
    <x v="40"/>
    <s v="8774365207"/>
    <s v="test@gmail.com"/>
    <x v="15"/>
  </r>
  <r>
    <x v="66"/>
    <x v="0"/>
    <x v="3"/>
    <x v="0"/>
    <x v="1"/>
    <n v="1550"/>
    <n v="3"/>
    <n v="3"/>
    <x v="0"/>
    <x v="0"/>
    <x v="0"/>
    <s v="9361301518"/>
    <s v="test@gmail.com"/>
    <x v="16"/>
  </r>
  <r>
    <x v="67"/>
    <x v="3"/>
    <x v="4"/>
    <x v="0"/>
    <x v="3"/>
    <n v="2668"/>
    <n v="2"/>
    <n v="4"/>
    <x v="1"/>
    <x v="0"/>
    <x v="57"/>
    <s v="9800935401"/>
    <s v="fooduser@yahoo.com"/>
    <x v="0"/>
  </r>
  <r>
    <x v="68"/>
    <x v="2"/>
    <x v="0"/>
    <x v="5"/>
    <x v="2"/>
    <n v="2954"/>
    <n v="2"/>
    <n v="3"/>
    <x v="1"/>
    <x v="1"/>
    <x v="58"/>
    <s v="7111281996"/>
    <s v="test@gmail.com"/>
    <x v="0"/>
  </r>
  <r>
    <x v="69"/>
    <x v="0"/>
    <x v="2"/>
    <x v="5"/>
    <x v="2"/>
    <n v="1550"/>
    <n v="3"/>
    <n v="3"/>
    <x v="1"/>
    <x v="0"/>
    <x v="59"/>
    <s v="7059701167"/>
    <s v="test@gmail.com"/>
    <x v="0"/>
  </r>
  <r>
    <x v="70"/>
    <x v="1"/>
    <x v="0"/>
    <x v="0"/>
    <x v="3"/>
    <n v="2993"/>
    <n v="4"/>
    <n v="3"/>
    <x v="3"/>
    <x v="0"/>
    <x v="4"/>
    <s v="8176226755"/>
    <s v="fooduser@yahoo.com"/>
    <x v="1"/>
  </r>
  <r>
    <x v="71"/>
    <x v="0"/>
    <x v="4"/>
    <x v="4"/>
    <x v="4"/>
    <n v="1672"/>
    <n v="1"/>
    <n v="3"/>
    <x v="3"/>
    <x v="0"/>
    <x v="55"/>
    <s v="9773648841"/>
    <s v="test@gmail.com"/>
    <x v="0"/>
  </r>
  <r>
    <x v="72"/>
    <x v="2"/>
    <x v="3"/>
    <x v="1"/>
    <x v="4"/>
    <n v="768"/>
    <n v="2"/>
    <n v="3"/>
    <x v="3"/>
    <x v="1"/>
    <x v="60"/>
    <s v="9773757807"/>
    <s v="test@gmail.com"/>
    <x v="0"/>
  </r>
  <r>
    <x v="73"/>
    <x v="2"/>
    <x v="4"/>
    <x v="0"/>
    <x v="3"/>
    <n v="1018"/>
    <n v="3"/>
    <n v="3"/>
    <x v="3"/>
    <x v="2"/>
    <x v="18"/>
    <s v="9342541514"/>
    <s v="fooduser@yahoo.com"/>
    <x v="17"/>
  </r>
  <r>
    <x v="74"/>
    <x v="5"/>
    <x v="3"/>
    <x v="0"/>
    <x v="3"/>
    <n v="1550"/>
    <n v="3"/>
    <n v="5"/>
    <x v="1"/>
    <x v="1"/>
    <x v="61"/>
    <s v="9407915944"/>
    <s v="test@gmail.com"/>
    <x v="1"/>
  </r>
  <r>
    <x v="75"/>
    <x v="6"/>
    <x v="4"/>
    <x v="4"/>
    <x v="4"/>
    <n v="1962"/>
    <n v="5"/>
    <n v="3"/>
    <x v="0"/>
    <x v="2"/>
    <x v="62"/>
    <s v="7383236692"/>
    <s v="fooduser@yahoo.com"/>
    <x v="0"/>
  </r>
  <r>
    <x v="76"/>
    <x v="6"/>
    <x v="1"/>
    <x v="3"/>
    <x v="1"/>
    <n v="1550"/>
    <n v="3"/>
    <n v="3"/>
    <x v="2"/>
    <x v="2"/>
    <x v="50"/>
    <s v="8442364344"/>
    <s v="fooduser@yahoo.com"/>
    <x v="0"/>
  </r>
  <r>
    <x v="77"/>
    <x v="3"/>
    <x v="5"/>
    <x v="3"/>
    <x v="1"/>
    <n v="1550"/>
    <n v="3"/>
    <n v="2"/>
    <x v="2"/>
    <x v="0"/>
    <x v="20"/>
    <s v="7205446492"/>
    <s v="test@gmail.com"/>
    <x v="0"/>
  </r>
  <r>
    <x v="78"/>
    <x v="6"/>
    <x v="0"/>
    <x v="3"/>
    <x v="1"/>
    <n v="1780"/>
    <n v="2"/>
    <n v="3"/>
    <x v="0"/>
    <x v="1"/>
    <x v="62"/>
    <s v="7886084049"/>
    <s v="fooduser@yahoo.com"/>
    <x v="0"/>
  </r>
  <r>
    <x v="79"/>
    <x v="6"/>
    <x v="3"/>
    <x v="3"/>
    <x v="0"/>
    <n v="2643"/>
    <n v="1"/>
    <n v="3"/>
    <x v="3"/>
    <x v="0"/>
    <x v="63"/>
    <s v="9596936109"/>
    <s v="test@gmail.com"/>
    <x v="0"/>
  </r>
  <r>
    <x v="80"/>
    <x v="4"/>
    <x v="5"/>
    <x v="2"/>
    <x v="2"/>
    <n v="1550"/>
    <n v="2"/>
    <n v="5"/>
    <x v="1"/>
    <x v="0"/>
    <x v="3"/>
    <s v="8790556687"/>
    <s v="test@gmail.com"/>
    <x v="0"/>
  </r>
  <r>
    <x v="81"/>
    <x v="6"/>
    <x v="5"/>
    <x v="5"/>
    <x v="2"/>
    <n v="378"/>
    <n v="4"/>
    <n v="5"/>
    <x v="1"/>
    <x v="0"/>
    <x v="60"/>
    <s v="9725747220"/>
    <s v="test@gmail.com"/>
    <x v="0"/>
  </r>
  <r>
    <x v="82"/>
    <x v="6"/>
    <x v="2"/>
    <x v="1"/>
    <x v="0"/>
    <n v="1550"/>
    <n v="1"/>
    <n v="5"/>
    <x v="2"/>
    <x v="2"/>
    <x v="0"/>
    <s v="9940123824"/>
    <s v="test@gmail.com"/>
    <x v="0"/>
  </r>
  <r>
    <x v="83"/>
    <x v="5"/>
    <x v="1"/>
    <x v="4"/>
    <x v="2"/>
    <n v="714"/>
    <n v="4"/>
    <n v="5"/>
    <x v="2"/>
    <x v="1"/>
    <x v="64"/>
    <s v="9805512080"/>
    <s v="test@gmail.com"/>
    <x v="0"/>
  </r>
  <r>
    <x v="84"/>
    <x v="2"/>
    <x v="4"/>
    <x v="4"/>
    <x v="0"/>
    <n v="1550"/>
    <n v="2"/>
    <n v="5"/>
    <x v="3"/>
    <x v="0"/>
    <x v="65"/>
    <s v="8043992060"/>
    <s v="fooduser@yahoo.com"/>
    <x v="18"/>
  </r>
  <r>
    <x v="85"/>
    <x v="6"/>
    <x v="1"/>
    <x v="3"/>
    <x v="1"/>
    <n v="2829"/>
    <n v="2"/>
    <n v="4"/>
    <x v="3"/>
    <x v="0"/>
    <x v="66"/>
    <s v="9679637778"/>
    <s v="fooduser@yahoo.com"/>
    <x v="0"/>
  </r>
  <r>
    <x v="86"/>
    <x v="6"/>
    <x v="0"/>
    <x v="0"/>
    <x v="4"/>
    <n v="2548"/>
    <n v="3"/>
    <n v="5"/>
    <x v="0"/>
    <x v="1"/>
    <x v="67"/>
    <s v="8920593054"/>
    <s v="fooduser@yahoo.com"/>
    <x v="1"/>
  </r>
  <r>
    <x v="87"/>
    <x v="4"/>
    <x v="1"/>
    <x v="5"/>
    <x v="1"/>
    <n v="2954"/>
    <n v="3"/>
    <n v="3"/>
    <x v="1"/>
    <x v="1"/>
    <x v="29"/>
    <s v="8150724227"/>
    <s v="fooduser@yahoo.com"/>
    <x v="0"/>
  </r>
  <r>
    <x v="88"/>
    <x v="4"/>
    <x v="2"/>
    <x v="1"/>
    <x v="2"/>
    <n v="199"/>
    <n v="1"/>
    <n v="5"/>
    <x v="0"/>
    <x v="0"/>
    <x v="18"/>
    <s v="9240867612"/>
    <s v="test@gmail.com"/>
    <x v="0"/>
  </r>
  <r>
    <x v="89"/>
    <x v="0"/>
    <x v="2"/>
    <x v="5"/>
    <x v="0"/>
    <n v="1550"/>
    <n v="4"/>
    <n v="5"/>
    <x v="2"/>
    <x v="0"/>
    <x v="68"/>
    <s v="8177034680"/>
    <s v="test@gmail.com"/>
    <x v="0"/>
  </r>
  <r>
    <x v="90"/>
    <x v="2"/>
    <x v="3"/>
    <x v="1"/>
    <x v="4"/>
    <n v="1550"/>
    <n v="3"/>
    <n v="3"/>
    <x v="3"/>
    <x v="1"/>
    <x v="69"/>
    <s v="9528858563"/>
    <s v="fooduser@yahoo.com"/>
    <x v="0"/>
  </r>
  <r>
    <x v="91"/>
    <x v="3"/>
    <x v="2"/>
    <x v="0"/>
    <x v="0"/>
    <n v="1714"/>
    <n v="3"/>
    <n v="3"/>
    <x v="1"/>
    <x v="1"/>
    <x v="70"/>
    <s v="7551913574"/>
    <s v="fooduser@yahoo.com"/>
    <x v="0"/>
  </r>
  <r>
    <x v="92"/>
    <x v="3"/>
    <x v="2"/>
    <x v="1"/>
    <x v="0"/>
    <n v="2712"/>
    <n v="2"/>
    <n v="5"/>
    <x v="1"/>
    <x v="0"/>
    <x v="71"/>
    <s v="9901834996"/>
    <s v="fooduser@yahoo.com"/>
    <x v="1"/>
  </r>
  <r>
    <x v="93"/>
    <x v="1"/>
    <x v="5"/>
    <x v="0"/>
    <x v="4"/>
    <n v="1940"/>
    <n v="3"/>
    <n v="5"/>
    <x v="0"/>
    <x v="0"/>
    <x v="50"/>
    <s v="8992957118"/>
    <s v="test@gmail.com"/>
    <x v="0"/>
  </r>
  <r>
    <x v="94"/>
    <x v="5"/>
    <x v="5"/>
    <x v="3"/>
    <x v="1"/>
    <n v="1456"/>
    <n v="3"/>
    <n v="2"/>
    <x v="0"/>
    <x v="1"/>
    <x v="72"/>
    <s v="9658096119"/>
    <s v="fooduser@yahoo.com"/>
    <x v="13"/>
  </r>
  <r>
    <x v="95"/>
    <x v="0"/>
    <x v="5"/>
    <x v="3"/>
    <x v="0"/>
    <n v="1102"/>
    <n v="4"/>
    <n v="4"/>
    <x v="1"/>
    <x v="1"/>
    <x v="73"/>
    <s v="8191752750"/>
    <s v="test@gmail.com"/>
    <x v="0"/>
  </r>
  <r>
    <x v="96"/>
    <x v="0"/>
    <x v="3"/>
    <x v="1"/>
    <x v="3"/>
    <n v="1550"/>
    <n v="2"/>
    <n v="1"/>
    <x v="2"/>
    <x v="1"/>
    <x v="33"/>
    <s v="9613569694"/>
    <s v="fooduser@yahoo.com"/>
    <x v="19"/>
  </r>
  <r>
    <x v="97"/>
    <x v="3"/>
    <x v="4"/>
    <x v="0"/>
    <x v="0"/>
    <n v="1327"/>
    <n v="4"/>
    <n v="5"/>
    <x v="2"/>
    <x v="1"/>
    <x v="13"/>
    <s v="8889973756"/>
    <s v="fooduser@yahoo.com"/>
    <x v="0"/>
  </r>
  <r>
    <x v="98"/>
    <x v="1"/>
    <x v="2"/>
    <x v="5"/>
    <x v="4"/>
    <n v="2007"/>
    <n v="2"/>
    <n v="2"/>
    <x v="3"/>
    <x v="1"/>
    <x v="62"/>
    <s v="9587529337"/>
    <s v="fooduser@yahoo.com"/>
    <x v="0"/>
  </r>
  <r>
    <x v="99"/>
    <x v="0"/>
    <x v="1"/>
    <x v="4"/>
    <x v="4"/>
    <n v="240"/>
    <n v="3"/>
    <n v="3"/>
    <x v="3"/>
    <x v="0"/>
    <x v="31"/>
    <s v="9339121961"/>
    <s v="test@gmail.com"/>
    <x v="0"/>
  </r>
  <r>
    <x v="100"/>
    <x v="5"/>
    <x v="1"/>
    <x v="0"/>
    <x v="2"/>
    <n v="2808"/>
    <n v="3"/>
    <n v="1"/>
    <x v="3"/>
    <x v="1"/>
    <x v="31"/>
    <s v="7146518687"/>
    <s v="fooduser@yahoo.com"/>
    <x v="15"/>
  </r>
  <r>
    <x v="101"/>
    <x v="6"/>
    <x v="1"/>
    <x v="0"/>
    <x v="0"/>
    <n v="495"/>
    <n v="5"/>
    <n v="2"/>
    <x v="2"/>
    <x v="0"/>
    <x v="2"/>
    <s v="7542145861"/>
    <s v="fooduser@yahoo.com"/>
    <x v="20"/>
  </r>
  <r>
    <x v="102"/>
    <x v="0"/>
    <x v="1"/>
    <x v="0"/>
    <x v="3"/>
    <n v="361"/>
    <n v="5"/>
    <n v="5"/>
    <x v="0"/>
    <x v="1"/>
    <x v="66"/>
    <s v="7572763028"/>
    <s v="fooduser@yahoo.com"/>
    <x v="0"/>
  </r>
  <r>
    <x v="103"/>
    <x v="2"/>
    <x v="5"/>
    <x v="1"/>
    <x v="1"/>
    <n v="2139"/>
    <n v="1"/>
    <n v="3"/>
    <x v="1"/>
    <x v="0"/>
    <x v="67"/>
    <s v="9140835744"/>
    <s v="test@gmail.com"/>
    <x v="0"/>
  </r>
  <r>
    <x v="104"/>
    <x v="5"/>
    <x v="4"/>
    <x v="2"/>
    <x v="1"/>
    <n v="1550"/>
    <n v="1"/>
    <n v="3"/>
    <x v="2"/>
    <x v="2"/>
    <x v="19"/>
    <s v="9211446453"/>
    <s v="fooduser@yahoo.com"/>
    <x v="21"/>
  </r>
  <r>
    <x v="105"/>
    <x v="5"/>
    <x v="3"/>
    <x v="0"/>
    <x v="1"/>
    <n v="2632"/>
    <n v="3"/>
    <n v="5"/>
    <x v="3"/>
    <x v="0"/>
    <x v="0"/>
    <s v="7416907897"/>
    <s v="fooduser@yahoo.com"/>
    <x v="0"/>
  </r>
  <r>
    <x v="106"/>
    <x v="3"/>
    <x v="3"/>
    <x v="2"/>
    <x v="2"/>
    <n v="2102"/>
    <n v="5"/>
    <n v="2"/>
    <x v="1"/>
    <x v="1"/>
    <x v="74"/>
    <s v="7487587350"/>
    <s v="test@gmail.com"/>
    <x v="7"/>
  </r>
  <r>
    <x v="107"/>
    <x v="1"/>
    <x v="5"/>
    <x v="3"/>
    <x v="4"/>
    <n v="179"/>
    <n v="3"/>
    <n v="3"/>
    <x v="2"/>
    <x v="0"/>
    <x v="75"/>
    <s v="9596808815"/>
    <s v="fooduser@yahoo.com"/>
    <x v="1"/>
  </r>
  <r>
    <x v="108"/>
    <x v="0"/>
    <x v="0"/>
    <x v="2"/>
    <x v="2"/>
    <n v="2416"/>
    <n v="3"/>
    <n v="3"/>
    <x v="0"/>
    <x v="0"/>
    <x v="76"/>
    <s v="9245325505"/>
    <s v="test@gmail.com"/>
    <x v="0"/>
  </r>
  <r>
    <x v="109"/>
    <x v="3"/>
    <x v="2"/>
    <x v="0"/>
    <x v="2"/>
    <n v="384"/>
    <n v="3"/>
    <n v="3"/>
    <x v="3"/>
    <x v="0"/>
    <x v="11"/>
    <s v="7890151602"/>
    <s v="test@gmail.com"/>
    <x v="1"/>
  </r>
  <r>
    <x v="110"/>
    <x v="5"/>
    <x v="1"/>
    <x v="5"/>
    <x v="2"/>
    <n v="696"/>
    <n v="2"/>
    <n v="3"/>
    <x v="3"/>
    <x v="0"/>
    <x v="23"/>
    <s v="8492231065"/>
    <s v="fooduser@yahoo.com"/>
    <x v="0"/>
  </r>
  <r>
    <x v="111"/>
    <x v="1"/>
    <x v="4"/>
    <x v="5"/>
    <x v="1"/>
    <n v="882"/>
    <n v="5"/>
    <n v="2"/>
    <x v="3"/>
    <x v="1"/>
    <x v="11"/>
    <s v="9171964161"/>
    <s v="fooduser@yahoo.com"/>
    <x v="0"/>
  </r>
  <r>
    <x v="112"/>
    <x v="6"/>
    <x v="0"/>
    <x v="0"/>
    <x v="4"/>
    <n v="1831"/>
    <n v="3"/>
    <n v="1"/>
    <x v="1"/>
    <x v="0"/>
    <x v="77"/>
    <s v="9609889702"/>
    <s v="test@gmail.com"/>
    <x v="7"/>
  </r>
  <r>
    <x v="113"/>
    <x v="2"/>
    <x v="4"/>
    <x v="1"/>
    <x v="4"/>
    <n v="1550"/>
    <n v="1"/>
    <n v="5"/>
    <x v="0"/>
    <x v="1"/>
    <x v="78"/>
    <s v="8940148119"/>
    <s v="test@gmail.com"/>
    <x v="0"/>
  </r>
  <r>
    <x v="114"/>
    <x v="0"/>
    <x v="5"/>
    <x v="2"/>
    <x v="1"/>
    <n v="468"/>
    <n v="2"/>
    <n v="1"/>
    <x v="2"/>
    <x v="0"/>
    <x v="79"/>
    <s v="7640076157"/>
    <s v="fooduser@yahoo.com"/>
    <x v="1"/>
  </r>
  <r>
    <x v="115"/>
    <x v="2"/>
    <x v="0"/>
    <x v="0"/>
    <x v="2"/>
    <n v="2020"/>
    <n v="2"/>
    <n v="5"/>
    <x v="3"/>
    <x v="1"/>
    <x v="59"/>
    <s v="9550567701"/>
    <s v="test@gmail.com"/>
    <x v="0"/>
  </r>
  <r>
    <x v="116"/>
    <x v="1"/>
    <x v="0"/>
    <x v="1"/>
    <x v="2"/>
    <n v="499"/>
    <n v="2"/>
    <n v="3"/>
    <x v="0"/>
    <x v="0"/>
    <x v="29"/>
    <s v="9936085035"/>
    <s v="fooduser@yahoo.com"/>
    <x v="22"/>
  </r>
  <r>
    <x v="117"/>
    <x v="6"/>
    <x v="2"/>
    <x v="4"/>
    <x v="1"/>
    <n v="660"/>
    <n v="3"/>
    <n v="3"/>
    <x v="2"/>
    <x v="2"/>
    <x v="44"/>
    <s v="9179883432"/>
    <s v="fooduser@yahoo.com"/>
    <x v="0"/>
  </r>
  <r>
    <x v="118"/>
    <x v="4"/>
    <x v="3"/>
    <x v="5"/>
    <x v="3"/>
    <n v="2895"/>
    <n v="3"/>
    <n v="1"/>
    <x v="2"/>
    <x v="0"/>
    <x v="43"/>
    <s v="9628981921"/>
    <s v="fooduser@yahoo.com"/>
    <x v="0"/>
  </r>
  <r>
    <x v="119"/>
    <x v="6"/>
    <x v="5"/>
    <x v="5"/>
    <x v="3"/>
    <n v="1550"/>
    <n v="2"/>
    <n v="4"/>
    <x v="3"/>
    <x v="0"/>
    <x v="77"/>
    <s v="9569709241"/>
    <s v="fooduser@yahoo.com"/>
    <x v="1"/>
  </r>
  <r>
    <x v="120"/>
    <x v="3"/>
    <x v="1"/>
    <x v="5"/>
    <x v="3"/>
    <n v="2919"/>
    <n v="3"/>
    <n v="3"/>
    <x v="2"/>
    <x v="1"/>
    <x v="53"/>
    <s v="7573321170"/>
    <s v="fooduser@yahoo.com"/>
    <x v="1"/>
  </r>
  <r>
    <x v="121"/>
    <x v="6"/>
    <x v="5"/>
    <x v="4"/>
    <x v="4"/>
    <n v="1024"/>
    <n v="2"/>
    <n v="4"/>
    <x v="2"/>
    <x v="1"/>
    <x v="80"/>
    <s v="9949610638"/>
    <s v="test@gmail.com"/>
    <x v="0"/>
  </r>
  <r>
    <x v="122"/>
    <x v="4"/>
    <x v="3"/>
    <x v="3"/>
    <x v="0"/>
    <n v="1550"/>
    <n v="3"/>
    <n v="3"/>
    <x v="1"/>
    <x v="2"/>
    <x v="81"/>
    <s v="7919754787"/>
    <s v="fooduser@yahoo.com"/>
    <x v="0"/>
  </r>
  <r>
    <x v="123"/>
    <x v="2"/>
    <x v="3"/>
    <x v="1"/>
    <x v="2"/>
    <n v="273"/>
    <n v="3"/>
    <n v="3"/>
    <x v="0"/>
    <x v="0"/>
    <x v="41"/>
    <s v="9128187183"/>
    <s v="test@gmail.com"/>
    <x v="1"/>
  </r>
  <r>
    <x v="124"/>
    <x v="2"/>
    <x v="4"/>
    <x v="4"/>
    <x v="0"/>
    <n v="913"/>
    <n v="4"/>
    <n v="3"/>
    <x v="3"/>
    <x v="1"/>
    <x v="23"/>
    <s v="9342362437"/>
    <s v="test@gmail.com"/>
    <x v="0"/>
  </r>
  <r>
    <x v="125"/>
    <x v="0"/>
    <x v="3"/>
    <x v="5"/>
    <x v="4"/>
    <n v="1550"/>
    <n v="5"/>
    <n v="5"/>
    <x v="0"/>
    <x v="1"/>
    <x v="8"/>
    <s v="9667424233"/>
    <s v="fooduser@yahoo.com"/>
    <x v="0"/>
  </r>
  <r>
    <x v="126"/>
    <x v="5"/>
    <x v="2"/>
    <x v="4"/>
    <x v="2"/>
    <n v="604"/>
    <n v="2"/>
    <n v="5"/>
    <x v="3"/>
    <x v="1"/>
    <x v="82"/>
    <s v="7113284701"/>
    <s v="fooduser@yahoo.com"/>
    <x v="1"/>
  </r>
  <r>
    <x v="127"/>
    <x v="0"/>
    <x v="1"/>
    <x v="5"/>
    <x v="1"/>
    <n v="1550"/>
    <n v="3"/>
    <n v="3"/>
    <x v="0"/>
    <x v="0"/>
    <x v="61"/>
    <s v="9225104500"/>
    <s v="test@gmail.com"/>
    <x v="23"/>
  </r>
  <r>
    <x v="128"/>
    <x v="5"/>
    <x v="5"/>
    <x v="3"/>
    <x v="2"/>
    <n v="1550"/>
    <n v="5"/>
    <n v="2"/>
    <x v="1"/>
    <x v="0"/>
    <x v="64"/>
    <s v="9707344826"/>
    <s v="test@gmail.com"/>
    <x v="0"/>
  </r>
  <r>
    <x v="129"/>
    <x v="2"/>
    <x v="3"/>
    <x v="1"/>
    <x v="3"/>
    <n v="1050"/>
    <n v="2"/>
    <n v="5"/>
    <x v="3"/>
    <x v="1"/>
    <x v="83"/>
    <s v="9216730003"/>
    <s v="fooduser@yahoo.com"/>
    <x v="1"/>
  </r>
  <r>
    <x v="130"/>
    <x v="3"/>
    <x v="5"/>
    <x v="1"/>
    <x v="3"/>
    <n v="1550"/>
    <n v="1"/>
    <n v="5"/>
    <x v="1"/>
    <x v="0"/>
    <x v="84"/>
    <s v="8282692726"/>
    <s v="fooduser@yahoo.com"/>
    <x v="0"/>
  </r>
  <r>
    <x v="131"/>
    <x v="3"/>
    <x v="4"/>
    <x v="5"/>
    <x v="2"/>
    <n v="655"/>
    <n v="1"/>
    <n v="5"/>
    <x v="3"/>
    <x v="0"/>
    <x v="85"/>
    <s v="9824704907"/>
    <s v="test@gmail.com"/>
    <x v="24"/>
  </r>
  <r>
    <x v="132"/>
    <x v="5"/>
    <x v="0"/>
    <x v="0"/>
    <x v="1"/>
    <n v="2743"/>
    <n v="3"/>
    <n v="4"/>
    <x v="3"/>
    <x v="0"/>
    <x v="86"/>
    <s v="9814904766"/>
    <s v="test@gmail.com"/>
    <x v="1"/>
  </r>
  <r>
    <x v="133"/>
    <x v="6"/>
    <x v="3"/>
    <x v="4"/>
    <x v="0"/>
    <n v="1550"/>
    <n v="2"/>
    <n v="3"/>
    <x v="1"/>
    <x v="0"/>
    <x v="11"/>
    <s v="7802277237"/>
    <s v="fooduser@yahoo.com"/>
    <x v="1"/>
  </r>
  <r>
    <x v="134"/>
    <x v="2"/>
    <x v="3"/>
    <x v="5"/>
    <x v="0"/>
    <n v="2147"/>
    <n v="3"/>
    <n v="3"/>
    <x v="0"/>
    <x v="1"/>
    <x v="87"/>
    <s v="9224081173"/>
    <s v="fooduser@yahoo.com"/>
    <x v="0"/>
  </r>
  <r>
    <x v="135"/>
    <x v="5"/>
    <x v="2"/>
    <x v="4"/>
    <x v="0"/>
    <n v="2858"/>
    <n v="3"/>
    <n v="3"/>
    <x v="0"/>
    <x v="1"/>
    <x v="8"/>
    <s v="9144937301"/>
    <s v="fooduser@yahoo.com"/>
    <x v="0"/>
  </r>
  <r>
    <x v="136"/>
    <x v="1"/>
    <x v="0"/>
    <x v="2"/>
    <x v="2"/>
    <n v="1658"/>
    <n v="4"/>
    <n v="5"/>
    <x v="3"/>
    <x v="1"/>
    <x v="88"/>
    <s v="7073394692"/>
    <s v="fooduser@yahoo.com"/>
    <x v="1"/>
  </r>
  <r>
    <x v="137"/>
    <x v="1"/>
    <x v="3"/>
    <x v="1"/>
    <x v="2"/>
    <n v="538"/>
    <n v="2"/>
    <n v="5"/>
    <x v="3"/>
    <x v="1"/>
    <x v="89"/>
    <s v="8226023307"/>
    <s v="test@gmail.com"/>
    <x v="25"/>
  </r>
  <r>
    <x v="138"/>
    <x v="2"/>
    <x v="3"/>
    <x v="2"/>
    <x v="4"/>
    <n v="1878"/>
    <n v="1"/>
    <n v="2"/>
    <x v="0"/>
    <x v="0"/>
    <x v="15"/>
    <s v="8771986377"/>
    <s v="test@gmail.com"/>
    <x v="0"/>
  </r>
  <r>
    <x v="139"/>
    <x v="6"/>
    <x v="2"/>
    <x v="0"/>
    <x v="3"/>
    <n v="1835"/>
    <n v="2"/>
    <n v="5"/>
    <x v="1"/>
    <x v="0"/>
    <x v="48"/>
    <s v="9872871438"/>
    <s v="fooduser@yahoo.com"/>
    <x v="1"/>
  </r>
  <r>
    <x v="140"/>
    <x v="2"/>
    <x v="4"/>
    <x v="0"/>
    <x v="1"/>
    <n v="1550"/>
    <n v="3"/>
    <n v="1"/>
    <x v="3"/>
    <x v="0"/>
    <x v="90"/>
    <s v="9980268284"/>
    <s v="test@gmail.com"/>
    <x v="26"/>
  </r>
  <r>
    <x v="141"/>
    <x v="0"/>
    <x v="2"/>
    <x v="2"/>
    <x v="0"/>
    <n v="2042"/>
    <n v="3"/>
    <n v="2"/>
    <x v="3"/>
    <x v="1"/>
    <x v="64"/>
    <s v="9421645450"/>
    <s v="test@gmail.com"/>
    <x v="0"/>
  </r>
  <r>
    <x v="142"/>
    <x v="0"/>
    <x v="4"/>
    <x v="0"/>
    <x v="4"/>
    <n v="358"/>
    <n v="3"/>
    <n v="5"/>
    <x v="0"/>
    <x v="0"/>
    <x v="35"/>
    <s v="8983094045"/>
    <s v="test@gmail.com"/>
    <x v="0"/>
  </r>
  <r>
    <x v="143"/>
    <x v="1"/>
    <x v="0"/>
    <x v="0"/>
    <x v="1"/>
    <n v="1550"/>
    <n v="2"/>
    <n v="3"/>
    <x v="0"/>
    <x v="1"/>
    <x v="50"/>
    <s v="8809249924"/>
    <s v="fooduser@yahoo.com"/>
    <x v="27"/>
  </r>
  <r>
    <x v="144"/>
    <x v="6"/>
    <x v="1"/>
    <x v="1"/>
    <x v="3"/>
    <n v="1550"/>
    <n v="3"/>
    <n v="4"/>
    <x v="2"/>
    <x v="2"/>
    <x v="91"/>
    <s v="7561808049"/>
    <s v="fooduser@yahoo.com"/>
    <x v="0"/>
  </r>
  <r>
    <x v="145"/>
    <x v="6"/>
    <x v="1"/>
    <x v="2"/>
    <x v="1"/>
    <n v="1858"/>
    <n v="5"/>
    <n v="5"/>
    <x v="2"/>
    <x v="1"/>
    <x v="52"/>
    <s v="9894319323"/>
    <s v="test@gmail.com"/>
    <x v="1"/>
  </r>
  <r>
    <x v="146"/>
    <x v="5"/>
    <x v="0"/>
    <x v="0"/>
    <x v="2"/>
    <n v="2300"/>
    <n v="3"/>
    <n v="3"/>
    <x v="1"/>
    <x v="1"/>
    <x v="70"/>
    <s v="9755288794"/>
    <s v="fooduser@yahoo.com"/>
    <x v="17"/>
  </r>
  <r>
    <x v="147"/>
    <x v="2"/>
    <x v="5"/>
    <x v="2"/>
    <x v="3"/>
    <n v="1141"/>
    <n v="5"/>
    <n v="5"/>
    <x v="1"/>
    <x v="0"/>
    <x v="11"/>
    <s v="9979876924"/>
    <s v="fooduser@yahoo.com"/>
    <x v="0"/>
  </r>
  <r>
    <x v="148"/>
    <x v="5"/>
    <x v="4"/>
    <x v="1"/>
    <x v="3"/>
    <n v="2208"/>
    <n v="3"/>
    <n v="3"/>
    <x v="0"/>
    <x v="0"/>
    <x v="16"/>
    <s v="7795059757"/>
    <s v="test@gmail.com"/>
    <x v="28"/>
  </r>
  <r>
    <x v="149"/>
    <x v="0"/>
    <x v="2"/>
    <x v="1"/>
    <x v="1"/>
    <n v="1972"/>
    <n v="2"/>
    <n v="5"/>
    <x v="2"/>
    <x v="1"/>
    <x v="92"/>
    <s v="9569799493"/>
    <s v="test@gmail.com"/>
    <x v="0"/>
  </r>
  <r>
    <x v="150"/>
    <x v="4"/>
    <x v="2"/>
    <x v="5"/>
    <x v="2"/>
    <n v="1600"/>
    <n v="2"/>
    <n v="5"/>
    <x v="2"/>
    <x v="0"/>
    <x v="50"/>
    <s v="8868816120"/>
    <s v="test@gmail.com"/>
    <x v="1"/>
  </r>
  <r>
    <x v="151"/>
    <x v="2"/>
    <x v="0"/>
    <x v="4"/>
    <x v="2"/>
    <n v="1904"/>
    <n v="4"/>
    <n v="1"/>
    <x v="0"/>
    <x v="0"/>
    <x v="54"/>
    <s v="9737425155"/>
    <s v="test@gmail.com"/>
    <x v="0"/>
  </r>
  <r>
    <x v="152"/>
    <x v="0"/>
    <x v="4"/>
    <x v="4"/>
    <x v="0"/>
    <n v="1465"/>
    <n v="3"/>
    <n v="5"/>
    <x v="0"/>
    <x v="1"/>
    <x v="66"/>
    <s v="9350794956"/>
    <s v="fooduser@yahoo.com"/>
    <x v="0"/>
  </r>
  <r>
    <x v="153"/>
    <x v="0"/>
    <x v="3"/>
    <x v="5"/>
    <x v="1"/>
    <n v="1708"/>
    <n v="4"/>
    <n v="5"/>
    <x v="0"/>
    <x v="1"/>
    <x v="61"/>
    <s v="8191570618"/>
    <s v="test@gmail.com"/>
    <x v="0"/>
  </r>
  <r>
    <x v="154"/>
    <x v="5"/>
    <x v="2"/>
    <x v="5"/>
    <x v="3"/>
    <n v="1615"/>
    <n v="2"/>
    <n v="5"/>
    <x v="1"/>
    <x v="0"/>
    <x v="12"/>
    <s v="9846146468"/>
    <s v="fooduser@yahoo.com"/>
    <x v="20"/>
  </r>
  <r>
    <x v="155"/>
    <x v="6"/>
    <x v="5"/>
    <x v="2"/>
    <x v="3"/>
    <n v="639"/>
    <n v="3"/>
    <n v="5"/>
    <x v="3"/>
    <x v="1"/>
    <x v="31"/>
    <s v="9694244911"/>
    <s v="test@gmail.com"/>
    <x v="29"/>
  </r>
  <r>
    <x v="156"/>
    <x v="5"/>
    <x v="2"/>
    <x v="5"/>
    <x v="1"/>
    <n v="2769"/>
    <n v="3"/>
    <n v="2"/>
    <x v="1"/>
    <x v="2"/>
    <x v="64"/>
    <s v="9499844046"/>
    <s v="test@gmail.com"/>
    <x v="0"/>
  </r>
  <r>
    <x v="157"/>
    <x v="2"/>
    <x v="1"/>
    <x v="2"/>
    <x v="2"/>
    <n v="1550"/>
    <n v="4"/>
    <n v="3"/>
    <x v="3"/>
    <x v="0"/>
    <x v="8"/>
    <s v="9132199020"/>
    <s v="fooduser@yahoo.com"/>
    <x v="0"/>
  </r>
  <r>
    <x v="158"/>
    <x v="0"/>
    <x v="5"/>
    <x v="1"/>
    <x v="4"/>
    <n v="1102"/>
    <n v="1"/>
    <n v="5"/>
    <x v="1"/>
    <x v="1"/>
    <x v="93"/>
    <s v="9396116208"/>
    <s v="fooduser@yahoo.com"/>
    <x v="1"/>
  </r>
  <r>
    <x v="159"/>
    <x v="4"/>
    <x v="5"/>
    <x v="4"/>
    <x v="0"/>
    <n v="2243"/>
    <n v="3"/>
    <n v="3"/>
    <x v="1"/>
    <x v="0"/>
    <x v="94"/>
    <s v="9585321704"/>
    <s v="fooduser@yahoo.com"/>
    <x v="10"/>
  </r>
  <r>
    <x v="160"/>
    <x v="6"/>
    <x v="4"/>
    <x v="0"/>
    <x v="0"/>
    <n v="1550"/>
    <n v="4"/>
    <n v="3"/>
    <x v="2"/>
    <x v="0"/>
    <x v="61"/>
    <s v="9375878162"/>
    <s v="fooduser@yahoo.com"/>
    <x v="0"/>
  </r>
  <r>
    <x v="161"/>
    <x v="2"/>
    <x v="5"/>
    <x v="4"/>
    <x v="4"/>
    <n v="2224"/>
    <n v="4"/>
    <n v="5"/>
    <x v="1"/>
    <x v="2"/>
    <x v="95"/>
    <s v="9515154827"/>
    <s v="test@gmail.com"/>
    <x v="7"/>
  </r>
  <r>
    <x v="162"/>
    <x v="0"/>
    <x v="1"/>
    <x v="2"/>
    <x v="0"/>
    <n v="1872"/>
    <n v="3"/>
    <n v="4"/>
    <x v="0"/>
    <x v="0"/>
    <x v="48"/>
    <s v="7585663550"/>
    <s v="fooduser@yahoo.com"/>
    <x v="0"/>
  </r>
  <r>
    <x v="163"/>
    <x v="3"/>
    <x v="0"/>
    <x v="5"/>
    <x v="3"/>
    <n v="2430"/>
    <n v="3"/>
    <n v="2"/>
    <x v="1"/>
    <x v="0"/>
    <x v="12"/>
    <s v="9000665392"/>
    <s v="test@gmail.com"/>
    <x v="1"/>
  </r>
  <r>
    <x v="164"/>
    <x v="5"/>
    <x v="3"/>
    <x v="2"/>
    <x v="0"/>
    <n v="2918"/>
    <n v="3"/>
    <n v="3"/>
    <x v="2"/>
    <x v="1"/>
    <x v="10"/>
    <s v="9085068274"/>
    <s v="fooduser@yahoo.com"/>
    <x v="30"/>
  </r>
  <r>
    <x v="165"/>
    <x v="5"/>
    <x v="2"/>
    <x v="1"/>
    <x v="1"/>
    <n v="1550"/>
    <n v="1"/>
    <n v="4"/>
    <x v="2"/>
    <x v="1"/>
    <x v="96"/>
    <s v="9966877318"/>
    <s v="fooduser@yahoo.com"/>
    <x v="0"/>
  </r>
  <r>
    <x v="166"/>
    <x v="0"/>
    <x v="1"/>
    <x v="0"/>
    <x v="1"/>
    <n v="1550"/>
    <n v="2"/>
    <n v="2"/>
    <x v="2"/>
    <x v="1"/>
    <x v="6"/>
    <s v="8105432905"/>
    <s v="fooduser@yahoo.com"/>
    <x v="1"/>
  </r>
  <r>
    <x v="167"/>
    <x v="5"/>
    <x v="4"/>
    <x v="5"/>
    <x v="2"/>
    <n v="1055"/>
    <n v="3"/>
    <n v="3"/>
    <x v="1"/>
    <x v="2"/>
    <x v="43"/>
    <s v="8540573515"/>
    <s v="test@gmail.com"/>
    <x v="31"/>
  </r>
  <r>
    <x v="168"/>
    <x v="5"/>
    <x v="2"/>
    <x v="5"/>
    <x v="1"/>
    <n v="721"/>
    <n v="2"/>
    <n v="5"/>
    <x v="2"/>
    <x v="0"/>
    <x v="0"/>
    <s v="8599830142"/>
    <s v="fooduser@yahoo.com"/>
    <x v="0"/>
  </r>
  <r>
    <x v="169"/>
    <x v="4"/>
    <x v="5"/>
    <x v="2"/>
    <x v="1"/>
    <n v="549"/>
    <n v="5"/>
    <n v="1"/>
    <x v="1"/>
    <x v="2"/>
    <x v="97"/>
    <s v="9998906236"/>
    <s v="fooduser@yahoo.com"/>
    <x v="0"/>
  </r>
  <r>
    <x v="170"/>
    <x v="1"/>
    <x v="3"/>
    <x v="5"/>
    <x v="0"/>
    <n v="506"/>
    <n v="2"/>
    <n v="3"/>
    <x v="1"/>
    <x v="1"/>
    <x v="66"/>
    <s v="9667316833"/>
    <s v="fooduser@yahoo.com"/>
    <x v="0"/>
  </r>
  <r>
    <x v="171"/>
    <x v="3"/>
    <x v="3"/>
    <x v="4"/>
    <x v="3"/>
    <n v="2973"/>
    <n v="4"/>
    <n v="3"/>
    <x v="3"/>
    <x v="1"/>
    <x v="98"/>
    <s v="9028519189"/>
    <s v="fooduser@yahoo.com"/>
    <x v="1"/>
  </r>
  <r>
    <x v="172"/>
    <x v="2"/>
    <x v="2"/>
    <x v="2"/>
    <x v="2"/>
    <n v="655"/>
    <n v="3"/>
    <n v="4"/>
    <x v="1"/>
    <x v="0"/>
    <x v="14"/>
    <s v="9280325415"/>
    <s v="fooduser@yahoo.com"/>
    <x v="1"/>
  </r>
  <r>
    <x v="173"/>
    <x v="5"/>
    <x v="1"/>
    <x v="4"/>
    <x v="4"/>
    <n v="859"/>
    <n v="1"/>
    <n v="5"/>
    <x v="3"/>
    <x v="1"/>
    <x v="99"/>
    <s v="9215837729"/>
    <s v="test@gmail.com"/>
    <x v="0"/>
  </r>
  <r>
    <x v="174"/>
    <x v="3"/>
    <x v="3"/>
    <x v="0"/>
    <x v="4"/>
    <n v="2439"/>
    <n v="4"/>
    <n v="3"/>
    <x v="0"/>
    <x v="0"/>
    <x v="95"/>
    <s v="9610882151"/>
    <s v="test@gmail.com"/>
    <x v="0"/>
  </r>
  <r>
    <x v="175"/>
    <x v="0"/>
    <x v="0"/>
    <x v="3"/>
    <x v="4"/>
    <n v="1550"/>
    <n v="3"/>
    <n v="3"/>
    <x v="0"/>
    <x v="0"/>
    <x v="91"/>
    <s v="9439531501"/>
    <s v="fooduser@yahoo.com"/>
    <x v="1"/>
  </r>
  <r>
    <x v="176"/>
    <x v="2"/>
    <x v="5"/>
    <x v="4"/>
    <x v="4"/>
    <n v="1550"/>
    <n v="1"/>
    <n v="3"/>
    <x v="3"/>
    <x v="2"/>
    <x v="65"/>
    <s v="9297211078"/>
    <s v="fooduser@yahoo.com"/>
    <x v="1"/>
  </r>
  <r>
    <x v="177"/>
    <x v="3"/>
    <x v="2"/>
    <x v="1"/>
    <x v="3"/>
    <n v="1550"/>
    <n v="5"/>
    <n v="1"/>
    <x v="3"/>
    <x v="2"/>
    <x v="83"/>
    <s v="9727436866"/>
    <s v="fooduser@yahoo.com"/>
    <x v="1"/>
  </r>
  <r>
    <x v="178"/>
    <x v="3"/>
    <x v="2"/>
    <x v="5"/>
    <x v="0"/>
    <n v="1612"/>
    <n v="2"/>
    <n v="3"/>
    <x v="2"/>
    <x v="1"/>
    <x v="71"/>
    <s v="9782816023"/>
    <s v="test@gmail.com"/>
    <x v="1"/>
  </r>
  <r>
    <x v="179"/>
    <x v="3"/>
    <x v="3"/>
    <x v="2"/>
    <x v="4"/>
    <n v="1928"/>
    <n v="3"/>
    <n v="5"/>
    <x v="2"/>
    <x v="0"/>
    <x v="12"/>
    <s v="8855178633"/>
    <s v="test@gmail.com"/>
    <x v="32"/>
  </r>
  <r>
    <x v="180"/>
    <x v="5"/>
    <x v="1"/>
    <x v="5"/>
    <x v="1"/>
    <n v="670"/>
    <n v="3"/>
    <n v="3"/>
    <x v="3"/>
    <x v="0"/>
    <x v="40"/>
    <s v="7641203428"/>
    <s v="test@gmail.com"/>
    <x v="0"/>
  </r>
  <r>
    <x v="181"/>
    <x v="4"/>
    <x v="4"/>
    <x v="1"/>
    <x v="3"/>
    <n v="1550"/>
    <n v="1"/>
    <n v="1"/>
    <x v="0"/>
    <x v="1"/>
    <x v="13"/>
    <s v="9660892225"/>
    <s v="test@gmail.com"/>
    <x v="1"/>
  </r>
  <r>
    <x v="182"/>
    <x v="4"/>
    <x v="3"/>
    <x v="4"/>
    <x v="4"/>
    <n v="1023"/>
    <n v="5"/>
    <n v="3"/>
    <x v="0"/>
    <x v="0"/>
    <x v="100"/>
    <s v="9729949812"/>
    <s v="fooduser@yahoo.com"/>
    <x v="0"/>
  </r>
  <r>
    <x v="183"/>
    <x v="0"/>
    <x v="1"/>
    <x v="4"/>
    <x v="1"/>
    <n v="844"/>
    <n v="2"/>
    <n v="5"/>
    <x v="3"/>
    <x v="1"/>
    <x v="101"/>
    <s v="9188327860"/>
    <s v="test@gmail.com"/>
    <x v="33"/>
  </r>
  <r>
    <x v="184"/>
    <x v="3"/>
    <x v="4"/>
    <x v="1"/>
    <x v="1"/>
    <n v="1550"/>
    <n v="1"/>
    <n v="3"/>
    <x v="3"/>
    <x v="0"/>
    <x v="66"/>
    <s v="9867788616"/>
    <s v="fooduser@yahoo.com"/>
    <x v="0"/>
  </r>
  <r>
    <x v="185"/>
    <x v="0"/>
    <x v="4"/>
    <x v="5"/>
    <x v="0"/>
    <n v="2621"/>
    <n v="3"/>
    <n v="4"/>
    <x v="1"/>
    <x v="2"/>
    <x v="53"/>
    <s v="7518035199"/>
    <s v="fooduser@yahoo.com"/>
    <x v="1"/>
  </r>
  <r>
    <x v="186"/>
    <x v="5"/>
    <x v="0"/>
    <x v="0"/>
    <x v="0"/>
    <n v="491"/>
    <n v="3"/>
    <n v="3"/>
    <x v="2"/>
    <x v="0"/>
    <x v="50"/>
    <s v="9165015091"/>
    <s v="test@gmail.com"/>
    <x v="0"/>
  </r>
  <r>
    <x v="187"/>
    <x v="6"/>
    <x v="4"/>
    <x v="5"/>
    <x v="0"/>
    <n v="1630"/>
    <n v="3"/>
    <n v="5"/>
    <x v="0"/>
    <x v="0"/>
    <x v="102"/>
    <s v="8772890675"/>
    <s v="test@gmail.com"/>
    <x v="34"/>
  </r>
  <r>
    <x v="188"/>
    <x v="5"/>
    <x v="1"/>
    <x v="1"/>
    <x v="3"/>
    <n v="809"/>
    <n v="4"/>
    <n v="5"/>
    <x v="0"/>
    <x v="0"/>
    <x v="87"/>
    <s v="9800053921"/>
    <s v="test@gmail.com"/>
    <x v="0"/>
  </r>
  <r>
    <x v="189"/>
    <x v="5"/>
    <x v="2"/>
    <x v="4"/>
    <x v="3"/>
    <n v="2133"/>
    <n v="2"/>
    <n v="3"/>
    <x v="1"/>
    <x v="2"/>
    <x v="92"/>
    <s v="9398344738"/>
    <s v="fooduser@yahoo.com"/>
    <x v="0"/>
  </r>
  <r>
    <x v="190"/>
    <x v="2"/>
    <x v="4"/>
    <x v="1"/>
    <x v="4"/>
    <n v="2648"/>
    <n v="3"/>
    <n v="3"/>
    <x v="1"/>
    <x v="0"/>
    <x v="3"/>
    <s v="9068531753"/>
    <s v="fooduser@yahoo.com"/>
    <x v="0"/>
  </r>
  <r>
    <x v="191"/>
    <x v="4"/>
    <x v="4"/>
    <x v="3"/>
    <x v="0"/>
    <n v="806"/>
    <n v="1"/>
    <n v="3"/>
    <x v="2"/>
    <x v="0"/>
    <x v="103"/>
    <s v="9430339309"/>
    <s v="fooduser@yahoo.com"/>
    <x v="1"/>
  </r>
  <r>
    <x v="192"/>
    <x v="6"/>
    <x v="1"/>
    <x v="0"/>
    <x v="2"/>
    <n v="1692"/>
    <n v="3"/>
    <n v="1"/>
    <x v="3"/>
    <x v="2"/>
    <x v="69"/>
    <s v="9302386862"/>
    <s v="fooduser@yahoo.com"/>
    <x v="0"/>
  </r>
  <r>
    <x v="193"/>
    <x v="5"/>
    <x v="0"/>
    <x v="3"/>
    <x v="0"/>
    <n v="2163"/>
    <n v="2"/>
    <n v="5"/>
    <x v="0"/>
    <x v="1"/>
    <x v="104"/>
    <s v="9713108415"/>
    <s v="fooduser@yahoo.com"/>
    <x v="0"/>
  </r>
  <r>
    <x v="194"/>
    <x v="0"/>
    <x v="5"/>
    <x v="0"/>
    <x v="4"/>
    <n v="904"/>
    <n v="3"/>
    <n v="5"/>
    <x v="0"/>
    <x v="1"/>
    <x v="99"/>
    <s v="9472177752"/>
    <s v="test@gmail.com"/>
    <x v="0"/>
  </r>
  <r>
    <x v="195"/>
    <x v="1"/>
    <x v="0"/>
    <x v="1"/>
    <x v="4"/>
    <n v="494"/>
    <n v="5"/>
    <n v="5"/>
    <x v="0"/>
    <x v="2"/>
    <x v="105"/>
    <s v="9358738308"/>
    <s v="test@gmail.com"/>
    <x v="33"/>
  </r>
  <r>
    <x v="196"/>
    <x v="6"/>
    <x v="5"/>
    <x v="5"/>
    <x v="1"/>
    <n v="2520"/>
    <n v="1"/>
    <n v="3"/>
    <x v="2"/>
    <x v="2"/>
    <x v="106"/>
    <s v="8154182285"/>
    <s v="fooduser@yahoo.com"/>
    <x v="0"/>
  </r>
  <r>
    <x v="197"/>
    <x v="1"/>
    <x v="4"/>
    <x v="2"/>
    <x v="4"/>
    <n v="635"/>
    <n v="2"/>
    <n v="2"/>
    <x v="2"/>
    <x v="0"/>
    <x v="32"/>
    <s v="9344789978"/>
    <s v="test@gmail.com"/>
    <x v="0"/>
  </r>
  <r>
    <x v="198"/>
    <x v="6"/>
    <x v="1"/>
    <x v="0"/>
    <x v="0"/>
    <n v="1442"/>
    <n v="3"/>
    <n v="5"/>
    <x v="0"/>
    <x v="1"/>
    <x v="10"/>
    <s v="9562732680"/>
    <s v="test@gmail.com"/>
    <x v="0"/>
  </r>
  <r>
    <x v="199"/>
    <x v="4"/>
    <x v="4"/>
    <x v="3"/>
    <x v="3"/>
    <n v="1662"/>
    <n v="2"/>
    <n v="5"/>
    <x v="1"/>
    <x v="0"/>
    <x v="107"/>
    <s v="7656110160"/>
    <s v="fooduser@yahoo.com"/>
    <x v="1"/>
  </r>
  <r>
    <x v="200"/>
    <x v="0"/>
    <x v="5"/>
    <x v="0"/>
    <x v="2"/>
    <n v="1550"/>
    <n v="4"/>
    <n v="4"/>
    <x v="2"/>
    <x v="2"/>
    <x v="61"/>
    <s v="9090954950"/>
    <s v="test@gmail.com"/>
    <x v="1"/>
  </r>
  <r>
    <x v="201"/>
    <x v="2"/>
    <x v="0"/>
    <x v="0"/>
    <x v="2"/>
    <n v="2597"/>
    <n v="3"/>
    <n v="1"/>
    <x v="2"/>
    <x v="0"/>
    <x v="105"/>
    <s v="9182594982"/>
    <s v="fooduser@yahoo.com"/>
    <x v="35"/>
  </r>
  <r>
    <x v="202"/>
    <x v="2"/>
    <x v="4"/>
    <x v="0"/>
    <x v="3"/>
    <n v="625"/>
    <n v="2"/>
    <n v="5"/>
    <x v="1"/>
    <x v="0"/>
    <x v="104"/>
    <s v="9502453390"/>
    <s v="fooduser@yahoo.com"/>
    <x v="0"/>
  </r>
  <r>
    <x v="203"/>
    <x v="0"/>
    <x v="2"/>
    <x v="2"/>
    <x v="3"/>
    <n v="634"/>
    <n v="1"/>
    <n v="5"/>
    <x v="1"/>
    <x v="1"/>
    <x v="18"/>
    <s v="9202655932"/>
    <s v="test@gmail.com"/>
    <x v="1"/>
  </r>
  <r>
    <x v="204"/>
    <x v="2"/>
    <x v="2"/>
    <x v="5"/>
    <x v="4"/>
    <n v="1550"/>
    <n v="2"/>
    <n v="5"/>
    <x v="3"/>
    <x v="1"/>
    <x v="2"/>
    <s v="9227743490"/>
    <s v="test@gmail.com"/>
    <x v="1"/>
  </r>
  <r>
    <x v="205"/>
    <x v="4"/>
    <x v="0"/>
    <x v="5"/>
    <x v="1"/>
    <n v="1550"/>
    <n v="3"/>
    <n v="5"/>
    <x v="1"/>
    <x v="2"/>
    <x v="108"/>
    <s v="9511008592"/>
    <s v="test@gmail.com"/>
    <x v="0"/>
  </r>
  <r>
    <x v="206"/>
    <x v="6"/>
    <x v="2"/>
    <x v="1"/>
    <x v="1"/>
    <n v="1550"/>
    <n v="3"/>
    <n v="5"/>
    <x v="0"/>
    <x v="1"/>
    <x v="49"/>
    <s v="9935402644"/>
    <s v="fooduser@yahoo.com"/>
    <x v="26"/>
  </r>
  <r>
    <x v="207"/>
    <x v="5"/>
    <x v="3"/>
    <x v="5"/>
    <x v="0"/>
    <n v="1550"/>
    <n v="5"/>
    <n v="2"/>
    <x v="2"/>
    <x v="0"/>
    <x v="13"/>
    <s v="8994416437"/>
    <s v="test@gmail.com"/>
    <x v="27"/>
  </r>
  <r>
    <x v="208"/>
    <x v="5"/>
    <x v="4"/>
    <x v="5"/>
    <x v="1"/>
    <n v="1816"/>
    <n v="5"/>
    <n v="5"/>
    <x v="3"/>
    <x v="0"/>
    <x v="45"/>
    <s v="9115862045"/>
    <s v="fooduser@yahoo.com"/>
    <x v="0"/>
  </r>
  <r>
    <x v="209"/>
    <x v="5"/>
    <x v="2"/>
    <x v="2"/>
    <x v="3"/>
    <n v="1550"/>
    <n v="4"/>
    <n v="3"/>
    <x v="0"/>
    <x v="0"/>
    <x v="103"/>
    <s v="8524504022"/>
    <s v="test@gmail.com"/>
    <x v="1"/>
  </r>
  <r>
    <x v="210"/>
    <x v="3"/>
    <x v="4"/>
    <x v="4"/>
    <x v="2"/>
    <n v="961"/>
    <n v="2"/>
    <n v="2"/>
    <x v="2"/>
    <x v="1"/>
    <x v="69"/>
    <s v="8665739683"/>
    <s v="fooduser@yahoo.com"/>
    <x v="0"/>
  </r>
  <r>
    <x v="211"/>
    <x v="4"/>
    <x v="5"/>
    <x v="5"/>
    <x v="4"/>
    <n v="1550"/>
    <n v="4"/>
    <n v="3"/>
    <x v="1"/>
    <x v="1"/>
    <x v="109"/>
    <s v="9172331127"/>
    <s v="test@gmail.com"/>
    <x v="0"/>
  </r>
  <r>
    <x v="212"/>
    <x v="2"/>
    <x v="5"/>
    <x v="0"/>
    <x v="0"/>
    <n v="1174"/>
    <n v="3"/>
    <n v="3"/>
    <x v="0"/>
    <x v="0"/>
    <x v="28"/>
    <s v="9619404179"/>
    <s v="test@gmail.com"/>
    <x v="0"/>
  </r>
  <r>
    <x v="213"/>
    <x v="6"/>
    <x v="1"/>
    <x v="4"/>
    <x v="2"/>
    <n v="774"/>
    <n v="2"/>
    <n v="5"/>
    <x v="1"/>
    <x v="0"/>
    <x v="29"/>
    <s v="9338044925"/>
    <s v="test@gmail.com"/>
    <x v="0"/>
  </r>
  <r>
    <x v="214"/>
    <x v="0"/>
    <x v="2"/>
    <x v="2"/>
    <x v="4"/>
    <n v="2723"/>
    <n v="2"/>
    <n v="1"/>
    <x v="0"/>
    <x v="0"/>
    <x v="110"/>
    <s v="9861110278"/>
    <s v="test@gmail.com"/>
    <x v="5"/>
  </r>
  <r>
    <x v="215"/>
    <x v="4"/>
    <x v="2"/>
    <x v="0"/>
    <x v="3"/>
    <n v="2741"/>
    <n v="4"/>
    <n v="5"/>
    <x v="1"/>
    <x v="1"/>
    <x v="8"/>
    <s v="9509513770"/>
    <s v="test@gmail.com"/>
    <x v="36"/>
  </r>
  <r>
    <x v="216"/>
    <x v="2"/>
    <x v="3"/>
    <x v="1"/>
    <x v="4"/>
    <n v="1528"/>
    <n v="3"/>
    <n v="5"/>
    <x v="1"/>
    <x v="0"/>
    <x v="69"/>
    <s v="9870740196"/>
    <s v="test@gmail.com"/>
    <x v="1"/>
  </r>
  <r>
    <x v="217"/>
    <x v="1"/>
    <x v="4"/>
    <x v="5"/>
    <x v="2"/>
    <n v="1527"/>
    <n v="5"/>
    <n v="3"/>
    <x v="0"/>
    <x v="0"/>
    <x v="11"/>
    <s v="9727709808"/>
    <s v="test@gmail.com"/>
    <x v="0"/>
  </r>
  <r>
    <x v="218"/>
    <x v="3"/>
    <x v="1"/>
    <x v="2"/>
    <x v="3"/>
    <n v="2920"/>
    <n v="3"/>
    <n v="3"/>
    <x v="1"/>
    <x v="1"/>
    <x v="35"/>
    <s v="8956905265"/>
    <s v="fooduser@yahoo.com"/>
    <x v="0"/>
  </r>
  <r>
    <x v="219"/>
    <x v="4"/>
    <x v="4"/>
    <x v="3"/>
    <x v="1"/>
    <n v="2713"/>
    <n v="1"/>
    <n v="3"/>
    <x v="2"/>
    <x v="0"/>
    <x v="23"/>
    <s v="8703387567"/>
    <s v="test@gmail.com"/>
    <x v="0"/>
  </r>
  <r>
    <x v="220"/>
    <x v="5"/>
    <x v="2"/>
    <x v="3"/>
    <x v="3"/>
    <n v="1550"/>
    <n v="2"/>
    <n v="3"/>
    <x v="3"/>
    <x v="0"/>
    <x v="111"/>
    <s v="9355077060"/>
    <s v="fooduser@yahoo.com"/>
    <x v="0"/>
  </r>
  <r>
    <x v="221"/>
    <x v="0"/>
    <x v="5"/>
    <x v="4"/>
    <x v="4"/>
    <n v="2396"/>
    <n v="1"/>
    <n v="5"/>
    <x v="0"/>
    <x v="1"/>
    <x v="24"/>
    <s v="9106893167"/>
    <s v="test@gmail.com"/>
    <x v="37"/>
  </r>
  <r>
    <x v="222"/>
    <x v="4"/>
    <x v="3"/>
    <x v="1"/>
    <x v="0"/>
    <n v="742"/>
    <n v="4"/>
    <n v="1"/>
    <x v="0"/>
    <x v="0"/>
    <x v="67"/>
    <s v="9847886206"/>
    <s v="fooduser@yahoo.com"/>
    <x v="0"/>
  </r>
  <r>
    <x v="223"/>
    <x v="1"/>
    <x v="4"/>
    <x v="3"/>
    <x v="2"/>
    <n v="1157"/>
    <n v="5"/>
    <n v="5"/>
    <x v="3"/>
    <x v="0"/>
    <x v="58"/>
    <s v="7226436126"/>
    <s v="test@gmail.com"/>
    <x v="0"/>
  </r>
  <r>
    <x v="224"/>
    <x v="3"/>
    <x v="4"/>
    <x v="4"/>
    <x v="0"/>
    <n v="2809"/>
    <n v="2"/>
    <n v="3"/>
    <x v="3"/>
    <x v="1"/>
    <x v="112"/>
    <s v="9625423106"/>
    <s v="test@gmail.com"/>
    <x v="0"/>
  </r>
  <r>
    <x v="225"/>
    <x v="4"/>
    <x v="3"/>
    <x v="2"/>
    <x v="2"/>
    <n v="1550"/>
    <n v="3"/>
    <n v="3"/>
    <x v="1"/>
    <x v="0"/>
    <x v="113"/>
    <s v="9590684068"/>
    <s v="fooduser@yahoo.com"/>
    <x v="0"/>
  </r>
  <r>
    <x v="226"/>
    <x v="3"/>
    <x v="2"/>
    <x v="3"/>
    <x v="3"/>
    <n v="2732"/>
    <n v="3"/>
    <n v="3"/>
    <x v="1"/>
    <x v="2"/>
    <x v="75"/>
    <s v="9039457259"/>
    <s v="fooduser@yahoo.com"/>
    <x v="0"/>
  </r>
  <r>
    <x v="227"/>
    <x v="4"/>
    <x v="5"/>
    <x v="0"/>
    <x v="2"/>
    <n v="1550"/>
    <n v="2"/>
    <n v="4"/>
    <x v="2"/>
    <x v="0"/>
    <x v="33"/>
    <s v="9023722238"/>
    <s v="test@gmail.com"/>
    <x v="38"/>
  </r>
  <r>
    <x v="228"/>
    <x v="6"/>
    <x v="2"/>
    <x v="4"/>
    <x v="3"/>
    <n v="2166"/>
    <n v="2"/>
    <n v="2"/>
    <x v="1"/>
    <x v="0"/>
    <x v="114"/>
    <s v="8298997122"/>
    <s v="test@gmail.com"/>
    <x v="0"/>
  </r>
  <r>
    <x v="229"/>
    <x v="0"/>
    <x v="0"/>
    <x v="5"/>
    <x v="0"/>
    <n v="755"/>
    <n v="3"/>
    <n v="2"/>
    <x v="1"/>
    <x v="0"/>
    <x v="48"/>
    <s v="9162334809"/>
    <s v="test@gmail.co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472DBA-C317-4FC2-808C-1FBDC873D8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7:C20" firstHeaderRow="1" firstDataRow="1" firstDataCol="1"/>
  <pivotFields count="16">
    <pivotField showAll="0"/>
    <pivotField showAll="0"/>
    <pivotField showAll="0">
      <items count="7">
        <item x="4"/>
        <item x="5"/>
        <item x="0"/>
        <item x="2"/>
        <item x="1"/>
        <item x="3"/>
        <item t="default"/>
      </items>
    </pivotField>
    <pivotField showAll="0"/>
    <pivotField showAll="0">
      <items count="6">
        <item x="2"/>
        <item x="0"/>
        <item x="1"/>
        <item x="3"/>
        <item x="4"/>
        <item t="default"/>
      </items>
    </pivotField>
    <pivotField dataField="1" numFmtId="2" showAll="0"/>
    <pivotField numFmtId="2" showAll="0"/>
    <pivotField numFmtId="2" showAll="0"/>
    <pivotField showAll="0"/>
    <pivotField showAll="0"/>
    <pivotField axis="axisRow" numFmtId="14" showAll="0">
      <items count="116">
        <item x="109"/>
        <item x="31"/>
        <item x="71"/>
        <item x="108"/>
        <item x="19"/>
        <item x="73"/>
        <item x="22"/>
        <item x="60"/>
        <item x="33"/>
        <item x="74"/>
        <item x="51"/>
        <item x="20"/>
        <item x="67"/>
        <item x="46"/>
        <item x="4"/>
        <item x="76"/>
        <item x="48"/>
        <item x="87"/>
        <item x="105"/>
        <item x="5"/>
        <item x="98"/>
        <item x="27"/>
        <item x="15"/>
        <item x="24"/>
        <item x="103"/>
        <item x="94"/>
        <item x="29"/>
        <item x="70"/>
        <item x="10"/>
        <item x="55"/>
        <item x="112"/>
        <item x="32"/>
        <item x="65"/>
        <item x="57"/>
        <item x="97"/>
        <item x="81"/>
        <item x="56"/>
        <item x="95"/>
        <item x="83"/>
        <item x="64"/>
        <item x="36"/>
        <item x="82"/>
        <item x="23"/>
        <item x="37"/>
        <item x="99"/>
        <item x="41"/>
        <item x="17"/>
        <item x="40"/>
        <item x="52"/>
        <item x="53"/>
        <item x="77"/>
        <item x="7"/>
        <item x="68"/>
        <item x="100"/>
        <item x="79"/>
        <item x="113"/>
        <item x="35"/>
        <item x="107"/>
        <item x="13"/>
        <item x="62"/>
        <item x="88"/>
        <item x="92"/>
        <item x="66"/>
        <item x="45"/>
        <item x="9"/>
        <item x="21"/>
        <item x="89"/>
        <item x="104"/>
        <item x="2"/>
        <item x="18"/>
        <item x="0"/>
        <item x="63"/>
        <item x="42"/>
        <item x="59"/>
        <item x="61"/>
        <item x="3"/>
        <item x="39"/>
        <item x="101"/>
        <item x="80"/>
        <item x="26"/>
        <item x="25"/>
        <item x="86"/>
        <item x="43"/>
        <item x="91"/>
        <item x="47"/>
        <item x="16"/>
        <item x="11"/>
        <item x="50"/>
        <item x="111"/>
        <item x="44"/>
        <item x="30"/>
        <item x="106"/>
        <item x="69"/>
        <item x="38"/>
        <item x="12"/>
        <item x="28"/>
        <item x="14"/>
        <item x="8"/>
        <item x="1"/>
        <item x="72"/>
        <item x="34"/>
        <item x="102"/>
        <item x="90"/>
        <item x="49"/>
        <item x="78"/>
        <item x="110"/>
        <item x="114"/>
        <item x="75"/>
        <item x="54"/>
        <item x="58"/>
        <item x="84"/>
        <item x="6"/>
        <item x="85"/>
        <item x="96"/>
        <item x="93"/>
        <item t="default"/>
      </items>
    </pivotField>
    <pivotField showAll="0"/>
    <pivotField showAll="0"/>
    <pivotField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0"/>
    <field x="14"/>
  </rowFields>
  <rowItems count="13">
    <i>
      <x v="1"/>
    </i>
    <i>
      <x v="2"/>
    </i>
    <i>
      <x v="3"/>
    </i>
    <i>
      <x v="4"/>
    </i>
    <i>
      <x v="5"/>
    </i>
    <i>
      <x v="6"/>
    </i>
    <i>
      <x v="7"/>
    </i>
    <i>
      <x v="8"/>
    </i>
    <i>
      <x v="9"/>
    </i>
    <i>
      <x v="10"/>
    </i>
    <i>
      <x v="11"/>
    </i>
    <i>
      <x v="12"/>
    </i>
    <i t="grand">
      <x/>
    </i>
  </rowItems>
  <colItems count="1">
    <i/>
  </colItems>
  <dataFields count="1">
    <dataField name="Sum of Order_Amount" fld="5" baseField="0" baseItem="0" numFmtId="2"/>
  </dataFields>
  <chartFormats count="2">
    <chartFormat chart="19"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63403-D13E-452A-BFCF-DA331329FF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C12" firstHeaderRow="1" firstDataRow="1" firstDataCol="1"/>
  <pivotFields count="16">
    <pivotField showAll="0"/>
    <pivotField showAll="0"/>
    <pivotField axis="axisRow" showAll="0">
      <items count="7">
        <item x="4"/>
        <item x="5"/>
        <item x="0"/>
        <item x="2"/>
        <item x="1"/>
        <item x="3"/>
        <item t="default"/>
      </items>
    </pivotField>
    <pivotField showAll="0"/>
    <pivotField showAll="0">
      <items count="6">
        <item x="2"/>
        <item x="0"/>
        <item x="1"/>
        <item x="3"/>
        <item x="4"/>
        <item t="default"/>
      </items>
    </pivotField>
    <pivotField dataField="1" numFmtId="2" showAll="0"/>
    <pivotField numFmtId="2" showAll="0"/>
    <pivotField numFmtId="2" showAll="0"/>
    <pivotField showAll="0"/>
    <pivotField showAll="0"/>
    <pivotField numFmtId="14" showAll="0">
      <items count="116">
        <item x="109"/>
        <item x="31"/>
        <item x="71"/>
        <item x="108"/>
        <item x="19"/>
        <item x="73"/>
        <item x="22"/>
        <item x="60"/>
        <item x="33"/>
        <item x="74"/>
        <item x="51"/>
        <item x="20"/>
        <item x="67"/>
        <item x="46"/>
        <item x="4"/>
        <item x="76"/>
        <item x="48"/>
        <item x="87"/>
        <item x="105"/>
        <item x="5"/>
        <item x="98"/>
        <item x="27"/>
        <item x="15"/>
        <item x="24"/>
        <item x="103"/>
        <item x="94"/>
        <item x="29"/>
        <item x="70"/>
        <item x="10"/>
        <item x="55"/>
        <item x="112"/>
        <item x="32"/>
        <item x="65"/>
        <item x="57"/>
        <item x="97"/>
        <item x="81"/>
        <item x="56"/>
        <item x="95"/>
        <item x="83"/>
        <item x="64"/>
        <item x="36"/>
        <item x="82"/>
        <item x="23"/>
        <item x="37"/>
        <item x="99"/>
        <item x="41"/>
        <item x="17"/>
        <item x="40"/>
        <item x="52"/>
        <item x="53"/>
        <item x="77"/>
        <item x="7"/>
        <item x="68"/>
        <item x="100"/>
        <item x="79"/>
        <item x="113"/>
        <item x="35"/>
        <item x="107"/>
        <item x="13"/>
        <item x="62"/>
        <item x="88"/>
        <item x="92"/>
        <item x="66"/>
        <item x="45"/>
        <item x="9"/>
        <item x="21"/>
        <item x="89"/>
        <item x="104"/>
        <item x="2"/>
        <item x="18"/>
        <item x="0"/>
        <item x="63"/>
        <item x="42"/>
        <item x="59"/>
        <item x="61"/>
        <item x="3"/>
        <item x="39"/>
        <item x="101"/>
        <item x="80"/>
        <item x="26"/>
        <item x="25"/>
        <item x="86"/>
        <item x="43"/>
        <item x="91"/>
        <item x="47"/>
        <item x="16"/>
        <item x="11"/>
        <item x="50"/>
        <item x="111"/>
        <item x="44"/>
        <item x="30"/>
        <item x="106"/>
        <item x="69"/>
        <item x="38"/>
        <item x="12"/>
        <item x="28"/>
        <item x="14"/>
        <item x="8"/>
        <item x="1"/>
        <item x="72"/>
        <item x="34"/>
        <item x="102"/>
        <item x="90"/>
        <item x="49"/>
        <item x="78"/>
        <item x="110"/>
        <item x="114"/>
        <item x="75"/>
        <item x="54"/>
        <item x="58"/>
        <item x="84"/>
        <item x="6"/>
        <item x="85"/>
        <item x="96"/>
        <item x="93"/>
        <item t="default"/>
      </items>
    </pivotField>
    <pivotField showAll="0"/>
    <pivotField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Count of Order_Amount" fld="5" subtotal="count" baseField="2" baseItem="0"/>
  </dataFields>
  <chartFormats count="3">
    <chartFormat chart="3"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236A70-9AEF-4602-AB8C-03F8AB87DD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0" firstHeaderRow="1" firstDataRow="1" firstDataCol="1"/>
  <pivotFields count="16">
    <pivotField showAll="0"/>
    <pivotField showAll="0"/>
    <pivotField showAll="0">
      <items count="7">
        <item x="4"/>
        <item x="5"/>
        <item x="0"/>
        <item x="2"/>
        <item x="1"/>
        <item x="3"/>
        <item t="default"/>
      </items>
    </pivotField>
    <pivotField axis="axisRow" showAll="0" sortType="ascending">
      <items count="7">
        <item x="1"/>
        <item x="3"/>
        <item x="2"/>
        <item x="4"/>
        <item x="0"/>
        <item x="5"/>
        <item t="default"/>
      </items>
    </pivotField>
    <pivotField showAll="0">
      <items count="6">
        <item x="2"/>
        <item x="0"/>
        <item x="1"/>
        <item x="3"/>
        <item x="4"/>
        <item t="default"/>
      </items>
    </pivotField>
    <pivotField numFmtId="2" showAll="0"/>
    <pivotField numFmtId="2" showAll="0"/>
    <pivotField dataField="1" numFmtId="2" showAll="0"/>
    <pivotField showAll="0"/>
    <pivotField showAll="0"/>
    <pivotField numFmtId="14" showAll="0">
      <items count="116">
        <item x="109"/>
        <item x="31"/>
        <item x="71"/>
        <item x="108"/>
        <item x="19"/>
        <item x="73"/>
        <item x="22"/>
        <item x="60"/>
        <item x="33"/>
        <item x="74"/>
        <item x="51"/>
        <item x="20"/>
        <item x="67"/>
        <item x="46"/>
        <item x="4"/>
        <item x="76"/>
        <item x="48"/>
        <item x="87"/>
        <item x="105"/>
        <item x="5"/>
        <item x="98"/>
        <item x="27"/>
        <item x="15"/>
        <item x="24"/>
        <item x="103"/>
        <item x="94"/>
        <item x="29"/>
        <item x="70"/>
        <item x="10"/>
        <item x="55"/>
        <item x="112"/>
        <item x="32"/>
        <item x="65"/>
        <item x="57"/>
        <item x="97"/>
        <item x="81"/>
        <item x="56"/>
        <item x="95"/>
        <item x="83"/>
        <item x="64"/>
        <item x="36"/>
        <item x="82"/>
        <item x="23"/>
        <item x="37"/>
        <item x="99"/>
        <item x="41"/>
        <item x="17"/>
        <item x="40"/>
        <item x="52"/>
        <item x="53"/>
        <item x="77"/>
        <item x="7"/>
        <item x="68"/>
        <item x="100"/>
        <item x="79"/>
        <item x="113"/>
        <item x="35"/>
        <item x="107"/>
        <item x="13"/>
        <item x="62"/>
        <item x="88"/>
        <item x="92"/>
        <item x="66"/>
        <item x="45"/>
        <item x="9"/>
        <item x="21"/>
        <item x="89"/>
        <item x="104"/>
        <item x="2"/>
        <item x="18"/>
        <item x="0"/>
        <item x="63"/>
        <item x="42"/>
        <item x="59"/>
        <item x="61"/>
        <item x="3"/>
        <item x="39"/>
        <item x="101"/>
        <item x="80"/>
        <item x="26"/>
        <item x="25"/>
        <item x="86"/>
        <item x="43"/>
        <item x="91"/>
        <item x="47"/>
        <item x="16"/>
        <item x="11"/>
        <item x="50"/>
        <item x="111"/>
        <item x="44"/>
        <item x="30"/>
        <item x="106"/>
        <item x="69"/>
        <item x="38"/>
        <item x="12"/>
        <item x="28"/>
        <item x="14"/>
        <item x="8"/>
        <item x="1"/>
        <item x="72"/>
        <item x="34"/>
        <item x="102"/>
        <item x="90"/>
        <item x="49"/>
        <item x="78"/>
        <item x="110"/>
        <item x="114"/>
        <item x="75"/>
        <item x="54"/>
        <item x="58"/>
        <item x="84"/>
        <item x="6"/>
        <item x="85"/>
        <item x="96"/>
        <item x="93"/>
        <item t="default"/>
      </items>
    </pivotField>
    <pivotField showAll="0"/>
    <pivotField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7">
    <i>
      <x/>
    </i>
    <i>
      <x v="1"/>
    </i>
    <i>
      <x v="2"/>
    </i>
    <i>
      <x v="3"/>
    </i>
    <i>
      <x v="4"/>
    </i>
    <i>
      <x v="5"/>
    </i>
    <i t="grand">
      <x/>
    </i>
  </rowItems>
  <colItems count="1">
    <i/>
  </colItems>
  <dataFields count="1">
    <dataField name="Average of Customer_Rating" fld="7" subtotal="average" baseField="3" baseItem="0" numFmtId="2"/>
  </dataFields>
  <chartFormats count="3">
    <chartFormat chart="13"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89F8D3-7D72-4973-9F6A-7CBF8B1273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pivotField showAll="0"/>
    <pivotField showAll="0">
      <items count="7">
        <item x="4"/>
        <item x="5"/>
        <item x="0"/>
        <item x="2"/>
        <item x="1"/>
        <item x="3"/>
        <item t="default"/>
      </items>
    </pivotField>
    <pivotField showAll="0"/>
    <pivotField axis="axisRow" showAll="0">
      <items count="6">
        <item x="2"/>
        <item x="0"/>
        <item x="1"/>
        <item x="3"/>
        <item x="4"/>
        <item t="default"/>
      </items>
    </pivotField>
    <pivotField numFmtId="2" showAll="0"/>
    <pivotField numFmtId="2" showAll="0"/>
    <pivotField numFmtId="2" showAll="0"/>
    <pivotField showAll="0"/>
    <pivotField dataField="1" showAll="0"/>
    <pivotField numFmtId="14" showAll="0">
      <items count="116">
        <item x="109"/>
        <item x="31"/>
        <item x="71"/>
        <item x="108"/>
        <item x="19"/>
        <item x="73"/>
        <item x="22"/>
        <item x="60"/>
        <item x="33"/>
        <item x="74"/>
        <item x="51"/>
        <item x="20"/>
        <item x="67"/>
        <item x="46"/>
        <item x="4"/>
        <item x="76"/>
        <item x="48"/>
        <item x="87"/>
        <item x="105"/>
        <item x="5"/>
        <item x="98"/>
        <item x="27"/>
        <item x="15"/>
        <item x="24"/>
        <item x="103"/>
        <item x="94"/>
        <item x="29"/>
        <item x="70"/>
        <item x="10"/>
        <item x="55"/>
        <item x="112"/>
        <item x="32"/>
        <item x="65"/>
        <item x="57"/>
        <item x="97"/>
        <item x="81"/>
        <item x="56"/>
        <item x="95"/>
        <item x="83"/>
        <item x="64"/>
        <item x="36"/>
        <item x="82"/>
        <item x="23"/>
        <item x="37"/>
        <item x="99"/>
        <item x="41"/>
        <item x="17"/>
        <item x="40"/>
        <item x="52"/>
        <item x="53"/>
        <item x="77"/>
        <item x="7"/>
        <item x="68"/>
        <item x="100"/>
        <item x="79"/>
        <item x="113"/>
        <item x="35"/>
        <item x="107"/>
        <item x="13"/>
        <item x="62"/>
        <item x="88"/>
        <item x="92"/>
        <item x="66"/>
        <item x="45"/>
        <item x="9"/>
        <item x="21"/>
        <item x="89"/>
        <item x="104"/>
        <item x="2"/>
        <item x="18"/>
        <item x="0"/>
        <item x="63"/>
        <item x="42"/>
        <item x="59"/>
        <item x="61"/>
        <item x="3"/>
        <item x="39"/>
        <item x="101"/>
        <item x="80"/>
        <item x="26"/>
        <item x="25"/>
        <item x="86"/>
        <item x="43"/>
        <item x="91"/>
        <item x="47"/>
        <item x="16"/>
        <item x="11"/>
        <item x="50"/>
        <item x="111"/>
        <item x="44"/>
        <item x="30"/>
        <item x="106"/>
        <item x="69"/>
        <item x="38"/>
        <item x="12"/>
        <item x="28"/>
        <item x="14"/>
        <item x="8"/>
        <item x="1"/>
        <item x="72"/>
        <item x="34"/>
        <item x="102"/>
        <item x="90"/>
        <item x="49"/>
        <item x="78"/>
        <item x="110"/>
        <item x="114"/>
        <item x="75"/>
        <item x="54"/>
        <item x="58"/>
        <item x="84"/>
        <item x="6"/>
        <item x="85"/>
        <item x="96"/>
        <item x="93"/>
        <item t="default"/>
      </items>
    </pivotField>
    <pivotField showAll="0"/>
    <pivotField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Count of Order_Status"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2438D6-3EB4-42B3-939C-C3D57F974D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6">
    <pivotField showAll="0"/>
    <pivotField showAll="0"/>
    <pivotField showAll="0">
      <items count="7">
        <item x="4"/>
        <item x="5"/>
        <item x="0"/>
        <item x="2"/>
        <item x="1"/>
        <item x="3"/>
        <item t="default"/>
      </items>
    </pivotField>
    <pivotField showAll="0"/>
    <pivotField showAll="0">
      <items count="6">
        <item x="2"/>
        <item x="0"/>
        <item x="1"/>
        <item x="3"/>
        <item x="4"/>
        <item t="default"/>
      </items>
    </pivotField>
    <pivotField numFmtId="2" showAll="0"/>
    <pivotField numFmtId="2" showAll="0"/>
    <pivotField numFmtId="2" showAll="0"/>
    <pivotField axis="axisRow" dataField="1" showAll="0">
      <items count="5">
        <item x="2"/>
        <item x="3"/>
        <item x="0"/>
        <item x="1"/>
        <item t="default"/>
      </items>
    </pivotField>
    <pivotField showAll="0"/>
    <pivotField numFmtId="14" showAll="0">
      <items count="116">
        <item x="109"/>
        <item x="31"/>
        <item x="71"/>
        <item x="108"/>
        <item x="19"/>
        <item x="73"/>
        <item x="22"/>
        <item x="60"/>
        <item x="33"/>
        <item x="74"/>
        <item x="51"/>
        <item x="20"/>
        <item x="67"/>
        <item x="46"/>
        <item x="4"/>
        <item x="76"/>
        <item x="48"/>
        <item x="87"/>
        <item x="105"/>
        <item x="5"/>
        <item x="98"/>
        <item x="27"/>
        <item x="15"/>
        <item x="24"/>
        <item x="103"/>
        <item x="94"/>
        <item x="29"/>
        <item x="70"/>
        <item x="10"/>
        <item x="55"/>
        <item x="112"/>
        <item x="32"/>
        <item x="65"/>
        <item x="57"/>
        <item x="97"/>
        <item x="81"/>
        <item x="56"/>
        <item x="95"/>
        <item x="83"/>
        <item x="64"/>
        <item x="36"/>
        <item x="82"/>
        <item x="23"/>
        <item x="37"/>
        <item x="99"/>
        <item x="41"/>
        <item x="17"/>
        <item x="40"/>
        <item x="52"/>
        <item x="53"/>
        <item x="77"/>
        <item x="7"/>
        <item x="68"/>
        <item x="100"/>
        <item x="79"/>
        <item x="113"/>
        <item x="35"/>
        <item x="107"/>
        <item x="13"/>
        <item x="62"/>
        <item x="88"/>
        <item x="92"/>
        <item x="66"/>
        <item x="45"/>
        <item x="9"/>
        <item x="21"/>
        <item x="89"/>
        <item x="104"/>
        <item x="2"/>
        <item x="18"/>
        <item x="0"/>
        <item x="63"/>
        <item x="42"/>
        <item x="59"/>
        <item x="61"/>
        <item x="3"/>
        <item x="39"/>
        <item x="101"/>
        <item x="80"/>
        <item x="26"/>
        <item x="25"/>
        <item x="86"/>
        <item x="43"/>
        <item x="91"/>
        <item x="47"/>
        <item x="16"/>
        <item x="11"/>
        <item x="50"/>
        <item x="111"/>
        <item x="44"/>
        <item x="30"/>
        <item x="106"/>
        <item x="69"/>
        <item x="38"/>
        <item x="12"/>
        <item x="28"/>
        <item x="14"/>
        <item x="8"/>
        <item x="1"/>
        <item x="72"/>
        <item x="34"/>
        <item x="102"/>
        <item x="90"/>
        <item x="49"/>
        <item x="78"/>
        <item x="110"/>
        <item x="114"/>
        <item x="75"/>
        <item x="54"/>
        <item x="58"/>
        <item x="84"/>
        <item x="6"/>
        <item x="85"/>
        <item x="96"/>
        <item x="93"/>
        <item t="default"/>
      </items>
    </pivotField>
    <pivotField showAll="0"/>
    <pivotField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Count of Payment_Mode" fld="8"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8" count="1" selected="0">
            <x v="0"/>
          </reference>
        </references>
      </pivotArea>
    </chartFormat>
    <chartFormat chart="11" format="12">
      <pivotArea type="data" outline="0" fieldPosition="0">
        <references count="2">
          <reference field="4294967294" count="1" selected="0">
            <x v="0"/>
          </reference>
          <reference field="8" count="1" selected="0">
            <x v="1"/>
          </reference>
        </references>
      </pivotArea>
    </chartFormat>
    <chartFormat chart="11" format="13">
      <pivotArea type="data" outline="0" fieldPosition="0">
        <references count="2">
          <reference field="4294967294" count="1" selected="0">
            <x v="0"/>
          </reference>
          <reference field="8" count="1" selected="0">
            <x v="2"/>
          </reference>
        </references>
      </pivotArea>
    </chartFormat>
    <chartFormat chart="11"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CB3860-E022-4E6D-A6EE-D143EDA438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16">
    <pivotField showAll="0"/>
    <pivotField axis="axisRow" showAll="0" measureFilter="1" sortType="descending">
      <items count="8">
        <item x="0"/>
        <item x="3"/>
        <item x="4"/>
        <item x="2"/>
        <item x="5"/>
        <item x="6"/>
        <item x="1"/>
        <item t="default"/>
      </items>
      <autoSortScope>
        <pivotArea dataOnly="0" outline="0" fieldPosition="0">
          <references count="1">
            <reference field="4294967294" count="1" selected="0">
              <x v="0"/>
            </reference>
          </references>
        </pivotArea>
      </autoSortScope>
    </pivotField>
    <pivotField showAll="0">
      <items count="7">
        <item x="4"/>
        <item x="5"/>
        <item x="0"/>
        <item x="2"/>
        <item x="1"/>
        <item x="3"/>
        <item t="default"/>
      </items>
    </pivotField>
    <pivotField showAll="0"/>
    <pivotField showAll="0">
      <items count="6">
        <item x="2"/>
        <item x="0"/>
        <item x="1"/>
        <item x="3"/>
        <item x="4"/>
        <item t="default"/>
      </items>
    </pivotField>
    <pivotField dataField="1" numFmtId="2" showAll="0"/>
    <pivotField numFmtId="2" showAll="0"/>
    <pivotField numFmtId="2" showAll="0"/>
    <pivotField showAll="0"/>
    <pivotField showAll="0"/>
    <pivotField numFmtId="14" showAll="0">
      <items count="116">
        <item x="109"/>
        <item x="31"/>
        <item x="71"/>
        <item x="108"/>
        <item x="19"/>
        <item x="73"/>
        <item x="22"/>
        <item x="60"/>
        <item x="33"/>
        <item x="74"/>
        <item x="51"/>
        <item x="20"/>
        <item x="67"/>
        <item x="46"/>
        <item x="4"/>
        <item x="76"/>
        <item x="48"/>
        <item x="87"/>
        <item x="105"/>
        <item x="5"/>
        <item x="98"/>
        <item x="27"/>
        <item x="15"/>
        <item x="24"/>
        <item x="103"/>
        <item x="94"/>
        <item x="29"/>
        <item x="70"/>
        <item x="10"/>
        <item x="55"/>
        <item x="112"/>
        <item x="32"/>
        <item x="65"/>
        <item x="57"/>
        <item x="97"/>
        <item x="81"/>
        <item x="56"/>
        <item x="95"/>
        <item x="83"/>
        <item x="64"/>
        <item x="36"/>
        <item x="82"/>
        <item x="23"/>
        <item x="37"/>
        <item x="99"/>
        <item x="41"/>
        <item x="17"/>
        <item x="40"/>
        <item x="52"/>
        <item x="53"/>
        <item x="77"/>
        <item x="7"/>
        <item x="68"/>
        <item x="100"/>
        <item x="79"/>
        <item x="113"/>
        <item x="35"/>
        <item x="107"/>
        <item x="13"/>
        <item x="62"/>
        <item x="88"/>
        <item x="92"/>
        <item x="66"/>
        <item x="45"/>
        <item x="9"/>
        <item x="21"/>
        <item x="89"/>
        <item x="104"/>
        <item x="2"/>
        <item x="18"/>
        <item x="0"/>
        <item x="63"/>
        <item x="42"/>
        <item x="59"/>
        <item x="61"/>
        <item x="3"/>
        <item x="39"/>
        <item x="101"/>
        <item x="80"/>
        <item x="26"/>
        <item x="25"/>
        <item x="86"/>
        <item x="43"/>
        <item x="91"/>
        <item x="47"/>
        <item x="16"/>
        <item x="11"/>
        <item x="50"/>
        <item x="111"/>
        <item x="44"/>
        <item x="30"/>
        <item x="106"/>
        <item x="69"/>
        <item x="38"/>
        <item x="12"/>
        <item x="28"/>
        <item x="14"/>
        <item x="8"/>
        <item x="1"/>
        <item x="72"/>
        <item x="34"/>
        <item x="102"/>
        <item x="90"/>
        <item x="49"/>
        <item x="78"/>
        <item x="110"/>
        <item x="114"/>
        <item x="75"/>
        <item x="54"/>
        <item x="58"/>
        <item x="84"/>
        <item x="6"/>
        <item x="85"/>
        <item x="96"/>
        <item x="93"/>
        <item t="default"/>
      </items>
    </pivotField>
    <pivotField showAll="0"/>
    <pivotField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v="3"/>
    </i>
    <i>
      <x v="4"/>
    </i>
    <i>
      <x/>
    </i>
    <i t="grand">
      <x/>
    </i>
  </rowItems>
  <colItems count="1">
    <i/>
  </colItems>
  <dataFields count="1">
    <dataField name="Sum of Order_Amount" fld="5" baseField="0" baseItem="0" numFmtId="2"/>
  </dataFields>
  <chartFormats count="4">
    <chartFormat chart="6"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 count="1" selected="0">
            <x v="3"/>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3A205B-0219-43BF-9A75-45519C02DC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6">
    <pivotField showAll="0"/>
    <pivotField showAll="0"/>
    <pivotField axis="axisRow" showAll="0">
      <items count="7">
        <item x="4"/>
        <item x="5"/>
        <item x="0"/>
        <item x="2"/>
        <item x="1"/>
        <item x="3"/>
        <item t="default"/>
      </items>
    </pivotField>
    <pivotField showAll="0"/>
    <pivotField showAll="0">
      <items count="6">
        <item x="2"/>
        <item x="0"/>
        <item x="1"/>
        <item x="3"/>
        <item x="4"/>
        <item t="default"/>
      </items>
    </pivotField>
    <pivotField numFmtId="2" showAll="0"/>
    <pivotField numFmtId="2" showAll="0"/>
    <pivotField numFmtId="2" showAll="0"/>
    <pivotField showAll="0"/>
    <pivotField showAll="0"/>
    <pivotField numFmtId="14" showAll="0">
      <items count="116">
        <item x="109"/>
        <item x="31"/>
        <item x="71"/>
        <item x="108"/>
        <item x="19"/>
        <item x="73"/>
        <item x="22"/>
        <item x="60"/>
        <item x="33"/>
        <item x="74"/>
        <item x="51"/>
        <item x="20"/>
        <item x="67"/>
        <item x="46"/>
        <item x="4"/>
        <item x="76"/>
        <item x="48"/>
        <item x="87"/>
        <item x="105"/>
        <item x="5"/>
        <item x="98"/>
        <item x="27"/>
        <item x="15"/>
        <item x="24"/>
        <item x="103"/>
        <item x="94"/>
        <item x="29"/>
        <item x="70"/>
        <item x="10"/>
        <item x="55"/>
        <item x="112"/>
        <item x="32"/>
        <item x="65"/>
        <item x="57"/>
        <item x="97"/>
        <item x="81"/>
        <item x="56"/>
        <item x="95"/>
        <item x="83"/>
        <item x="64"/>
        <item x="36"/>
        <item x="82"/>
        <item x="23"/>
        <item x="37"/>
        <item x="99"/>
        <item x="41"/>
        <item x="17"/>
        <item x="40"/>
        <item x="52"/>
        <item x="53"/>
        <item x="77"/>
        <item x="7"/>
        <item x="68"/>
        <item x="100"/>
        <item x="79"/>
        <item x="113"/>
        <item x="35"/>
        <item x="107"/>
        <item x="13"/>
        <item x="62"/>
        <item x="88"/>
        <item x="92"/>
        <item x="66"/>
        <item x="45"/>
        <item x="9"/>
        <item x="21"/>
        <item x="89"/>
        <item x="104"/>
        <item x="2"/>
        <item x="18"/>
        <item x="0"/>
        <item x="63"/>
        <item x="42"/>
        <item x="59"/>
        <item x="61"/>
        <item x="3"/>
        <item x="39"/>
        <item x="101"/>
        <item x="80"/>
        <item x="26"/>
        <item x="25"/>
        <item x="86"/>
        <item x="43"/>
        <item x="91"/>
        <item x="47"/>
        <item x="16"/>
        <item x="11"/>
        <item x="50"/>
        <item x="111"/>
        <item x="44"/>
        <item x="30"/>
        <item x="106"/>
        <item x="69"/>
        <item x="38"/>
        <item x="12"/>
        <item x="28"/>
        <item x="14"/>
        <item x="8"/>
        <item x="1"/>
        <item x="72"/>
        <item x="34"/>
        <item x="102"/>
        <item x="90"/>
        <item x="49"/>
        <item x="78"/>
        <item x="110"/>
        <item x="114"/>
        <item x="75"/>
        <item x="54"/>
        <item x="58"/>
        <item x="84"/>
        <item x="6"/>
        <item x="85"/>
        <item x="96"/>
        <item x="93"/>
        <item t="default"/>
      </items>
    </pivotField>
    <pivotField showAll="0"/>
    <pivotField showAll="0"/>
    <pivotField dataField="1" showAll="0">
      <items count="40">
        <item x="21"/>
        <item x="28"/>
        <item x="11"/>
        <item x="14"/>
        <item x="3"/>
        <item x="36"/>
        <item x="32"/>
        <item x="6"/>
        <item x="20"/>
        <item x="25"/>
        <item x="27"/>
        <item x="17"/>
        <item x="23"/>
        <item x="19"/>
        <item x="29"/>
        <item x="1"/>
        <item x="7"/>
        <item x="13"/>
        <item x="0"/>
        <item x="4"/>
        <item x="12"/>
        <item x="18"/>
        <item x="15"/>
        <item x="22"/>
        <item x="9"/>
        <item x="10"/>
        <item x="24"/>
        <item x="33"/>
        <item x="26"/>
        <item x="31"/>
        <item x="16"/>
        <item x="5"/>
        <item x="8"/>
        <item x="34"/>
        <item x="2"/>
        <item x="35"/>
        <item x="30"/>
        <item x="37"/>
        <item x="38"/>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Average of Delivery_Time" fld="13" subtotal="average" baseField="2"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1835C2-AAEE-4367-A4A1-54CF41843B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6">
    <pivotField dataField="1" showAll="0">
      <items count="2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t="default"/>
      </items>
    </pivotField>
    <pivotField showAll="0"/>
    <pivotField showAll="0">
      <items count="7">
        <item x="4"/>
        <item x="5"/>
        <item x="0"/>
        <item x="2"/>
        <item x="1"/>
        <item x="3"/>
        <item t="default"/>
      </items>
    </pivotField>
    <pivotField showAll="0">
      <items count="7">
        <item x="1"/>
        <item x="3"/>
        <item x="2"/>
        <item x="4"/>
        <item x="0"/>
        <item x="5"/>
        <item t="default"/>
      </items>
    </pivotField>
    <pivotField showAll="0">
      <items count="6">
        <item x="2"/>
        <item x="0"/>
        <item x="1"/>
        <item x="3"/>
        <item x="4"/>
        <item t="default"/>
      </items>
    </pivotField>
    <pivotField numFmtId="2" showAll="0"/>
    <pivotField numFmtId="2" showAll="0"/>
    <pivotField numFmtId="2" showAll="0"/>
    <pivotField showAll="0"/>
    <pivotField axis="axisRow" showAll="0">
      <items count="4">
        <item x="1"/>
        <item x="0"/>
        <item x="2"/>
        <item t="default"/>
      </items>
    </pivotField>
    <pivotField numFmtId="14" showAll="0">
      <items count="116">
        <item x="109"/>
        <item x="31"/>
        <item x="71"/>
        <item x="108"/>
        <item x="19"/>
        <item x="73"/>
        <item x="22"/>
        <item x="60"/>
        <item x="33"/>
        <item x="74"/>
        <item x="51"/>
        <item x="20"/>
        <item x="67"/>
        <item x="46"/>
        <item x="4"/>
        <item x="76"/>
        <item x="48"/>
        <item x="87"/>
        <item x="105"/>
        <item x="5"/>
        <item x="98"/>
        <item x="27"/>
        <item x="15"/>
        <item x="24"/>
        <item x="103"/>
        <item x="94"/>
        <item x="29"/>
        <item x="70"/>
        <item x="10"/>
        <item x="55"/>
        <item x="112"/>
        <item x="32"/>
        <item x="65"/>
        <item x="57"/>
        <item x="97"/>
        <item x="81"/>
        <item x="56"/>
        <item x="95"/>
        <item x="83"/>
        <item x="64"/>
        <item x="36"/>
        <item x="82"/>
        <item x="23"/>
        <item x="37"/>
        <item x="99"/>
        <item x="41"/>
        <item x="17"/>
        <item x="40"/>
        <item x="52"/>
        <item x="53"/>
        <item x="77"/>
        <item x="7"/>
        <item x="68"/>
        <item x="100"/>
        <item x="79"/>
        <item x="113"/>
        <item x="35"/>
        <item x="107"/>
        <item x="13"/>
        <item x="62"/>
        <item x="88"/>
        <item x="92"/>
        <item x="66"/>
        <item x="45"/>
        <item x="9"/>
        <item x="21"/>
        <item x="89"/>
        <item x="104"/>
        <item x="2"/>
        <item x="18"/>
        <item x="0"/>
        <item x="63"/>
        <item x="42"/>
        <item x="59"/>
        <item x="61"/>
        <item x="3"/>
        <item x="39"/>
        <item x="101"/>
        <item x="80"/>
        <item x="26"/>
        <item x="25"/>
        <item x="86"/>
        <item x="43"/>
        <item x="91"/>
        <item x="47"/>
        <item x="16"/>
        <item x="11"/>
        <item x="50"/>
        <item x="111"/>
        <item x="44"/>
        <item x="30"/>
        <item x="106"/>
        <item x="69"/>
        <item x="38"/>
        <item x="12"/>
        <item x="28"/>
        <item x="14"/>
        <item x="8"/>
        <item x="1"/>
        <item x="72"/>
        <item x="34"/>
        <item x="102"/>
        <item x="90"/>
        <item x="49"/>
        <item x="78"/>
        <item x="110"/>
        <item x="114"/>
        <item x="75"/>
        <item x="54"/>
        <item x="58"/>
        <item x="84"/>
        <item x="6"/>
        <item x="85"/>
        <item x="96"/>
        <item x="93"/>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i>
    <i>
      <x v="1"/>
    </i>
    <i>
      <x v="2"/>
    </i>
    <i t="grand">
      <x/>
    </i>
  </rowItems>
  <colItems count="1">
    <i/>
  </colItems>
  <dataFields count="1">
    <dataField name="Count of Order_ID" fld="0"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2"/>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 chart="4" format="7">
      <pivotArea type="data" outline="0" fieldPosition="0">
        <references count="2">
          <reference field="4294967294" count="1" selected="0">
            <x v="0"/>
          </reference>
          <reference field="9"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32074B-79BD-4F74-964D-23E228E515D5}" sourceName="Category">
  <pivotTables>
    <pivotTable tabId="4" name="PivotTable1"/>
    <pivotTable tabId="16" name="PivotTable1"/>
    <pivotTable tabId="19" name="PivotTable2"/>
    <pivotTable tabId="7" name="PivotTable4"/>
    <pivotTable tabId="8" name="PivotTable5"/>
    <pivotTable tabId="6" name="PivotTable3"/>
    <pivotTable tabId="20" name="PivotTable3"/>
    <pivotTable tabId="9" name="PivotTable6"/>
  </pivotTables>
  <data>
    <tabular pivotCacheId="1187059712">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422B972-9A11-4F19-8F01-1FC6AA898281}" sourceName="City">
  <pivotTables>
    <pivotTable tabId="19" name="PivotTable2"/>
    <pivotTable tabId="16" name="PivotTable1"/>
    <pivotTable tabId="4" name="PivotTable1"/>
    <pivotTable tabId="7" name="PivotTable4"/>
    <pivotTable tabId="8" name="PivotTable5"/>
    <pivotTable tabId="6" name="PivotTable3"/>
    <pivotTable tabId="20" name="PivotTable3"/>
    <pivotTable tabId="9" name="PivotTable6"/>
  </pivotTables>
  <data>
    <tabular pivotCacheId="1187059712">
      <items count="6">
        <i x="4" s="1"/>
        <i x="5"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59A4874-A5A4-4DD9-B8C0-542381B1E513}" cache="Slicer_Category" caption="Category" rowHeight="234950"/>
  <slicer name="City" xr10:uid="{19EA553B-36BF-4DAC-BAA8-2CE3B9A88A8A}"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E6BB02-8898-445E-BDC2-AF7DFFA166DE}">
  <we:reference id="wa200005502" version="1.0.0.13" store="en-IN" storeType="OMEX"/>
  <we:alternateReferences>
    <we:reference id="wa200005502" version="1.0.0.13" store="WA200005502" storeType="OMEX"/>
  </we:alternateReferences>
  <we:properties>
    <we:property name="docId" value="&quot;MN5u3W_wSGf50JtzRBPHC&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6EA2-9FB2-43D2-A371-6BF1ADA1422C}">
  <dimension ref="A1:AE39"/>
  <sheetViews>
    <sheetView tabSelected="1" zoomScale="85" zoomScaleNormal="100" workbookViewId="0">
      <selection activeCell="P2" sqref="P2"/>
    </sheetView>
  </sheetViews>
  <sheetFormatPr defaultRowHeight="14.4" x14ac:dyDescent="0.3"/>
  <cols>
    <col min="2" max="2" width="9.5546875" bestFit="1" customWidth="1"/>
  </cols>
  <sheetData>
    <row r="1" spans="1:3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row>
    <row r="2" spans="1:31"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row>
    <row r="3" spans="1:3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row>
    <row r="4" spans="1:31"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row>
    <row r="5" spans="1:3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row>
    <row r="6" spans="1:31"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row>
    <row r="8" spans="1:31"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row>
    <row r="9" spans="1:31"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row>
    <row r="10" spans="1:31"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row>
    <row r="11" spans="1:31" x14ac:dyDescent="0.3">
      <c r="A11" s="5"/>
      <c r="B11" s="6">
        <f>COUNTA('cleaned data'!A:A)</f>
        <v>231</v>
      </c>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row>
    <row r="12" spans="1:31"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row>
    <row r="13" spans="1:31"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row>
    <row r="14" spans="1:31"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row>
    <row r="15" spans="1:31" x14ac:dyDescent="0.3">
      <c r="A15" s="5"/>
      <c r="B15" s="5">
        <f>AVERAGE('cleaned data'!N:N)</f>
        <v>48.660869565217389</v>
      </c>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row>
    <row r="16" spans="1:31"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row>
    <row r="17" spans="1:31"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row>
    <row r="18" spans="1:31"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row>
    <row r="19" spans="1:31"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row>
    <row r="20" spans="1:31"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row>
    <row r="21" spans="1:31"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row>
    <row r="22" spans="1:31"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row>
    <row r="23" spans="1:31"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row>
    <row r="24" spans="1:31"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row>
    <row r="25" spans="1:31"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row>
    <row r="26" spans="1:31"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row>
    <row r="27" spans="1:31"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row>
    <row r="28" spans="1:31"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row>
    <row r="29" spans="1:31"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row>
    <row r="30" spans="1:31"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row>
    <row r="31" spans="1:31"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row>
    <row r="32" spans="1:31"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row>
    <row r="33" spans="1:31"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row>
    <row r="34" spans="1:31"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row>
    <row r="35" spans="1:31"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row>
    <row r="36" spans="1:31"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row>
    <row r="37" spans="1:31"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row>
    <row r="38" spans="1:31"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row>
    <row r="39" spans="1:31"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78"/>
  <sheetViews>
    <sheetView workbookViewId="0">
      <selection activeCell="A2" sqref="A1:A2"/>
    </sheetView>
  </sheetViews>
  <sheetFormatPr defaultRowHeight="14.4" x14ac:dyDescent="0.3"/>
  <cols>
    <col min="1" max="1" width="8.44140625" bestFit="1" customWidth="1"/>
    <col min="2" max="2" width="16.77734375" bestFit="1" customWidth="1"/>
    <col min="3" max="3" width="9.6640625" bestFit="1" customWidth="1"/>
    <col min="4" max="4" width="13.33203125" bestFit="1" customWidth="1"/>
    <col min="6" max="6" width="15.44140625" style="2" bestFit="1" customWidth="1"/>
    <col min="7" max="7" width="8" style="2" bestFit="1" customWidth="1"/>
    <col min="8" max="8" width="17.33203125" style="2" bestFit="1" customWidth="1"/>
    <col min="9" max="9" width="14" bestFit="1" customWidth="1"/>
    <col min="10" max="10" width="14" customWidth="1"/>
    <col min="11" max="11" width="14" style="1" customWidth="1"/>
    <col min="12" max="12" width="14.6640625" style="2" bestFit="1" customWidth="1"/>
    <col min="13" max="13" width="19.5546875" bestFit="1" customWidth="1"/>
    <col min="14" max="14" width="14.77734375" bestFit="1" customWidth="1"/>
  </cols>
  <sheetData>
    <row r="1" spans="1:14" x14ac:dyDescent="0.3">
      <c r="A1" t="s">
        <v>19</v>
      </c>
      <c r="B1" t="s">
        <v>413</v>
      </c>
      <c r="C1" t="s">
        <v>20</v>
      </c>
      <c r="D1" t="s">
        <v>21</v>
      </c>
      <c r="E1" t="s">
        <v>22</v>
      </c>
      <c r="F1" s="2" t="s">
        <v>23</v>
      </c>
      <c r="G1" s="2" t="s">
        <v>24</v>
      </c>
      <c r="H1" s="2" t="s">
        <v>25</v>
      </c>
      <c r="I1" t="s">
        <v>26</v>
      </c>
      <c r="J1" t="s">
        <v>27</v>
      </c>
      <c r="K1" s="1" t="s">
        <v>28</v>
      </c>
      <c r="L1" s="2" t="s">
        <v>29</v>
      </c>
      <c r="M1" t="s">
        <v>30</v>
      </c>
      <c r="N1" t="s">
        <v>31</v>
      </c>
    </row>
    <row r="2" spans="1:14" x14ac:dyDescent="0.3">
      <c r="A2" t="s">
        <v>42</v>
      </c>
      <c r="B2" t="s">
        <v>43</v>
      </c>
      <c r="C2" t="s">
        <v>44</v>
      </c>
      <c r="D2" t="s">
        <v>45</v>
      </c>
      <c r="E2" t="s">
        <v>46</v>
      </c>
      <c r="F2" s="2">
        <v>422</v>
      </c>
      <c r="G2" s="2">
        <v>2</v>
      </c>
      <c r="H2" s="2">
        <v>4</v>
      </c>
      <c r="I2" t="s">
        <v>35</v>
      </c>
      <c r="J2" t="s">
        <v>36</v>
      </c>
      <c r="K2" s="1">
        <v>45742</v>
      </c>
      <c r="L2" s="2" t="s">
        <v>417</v>
      </c>
      <c r="M2" t="s">
        <v>47</v>
      </c>
      <c r="N2">
        <v>49</v>
      </c>
    </row>
    <row r="3" spans="1:14" x14ac:dyDescent="0.3">
      <c r="A3" t="s">
        <v>60</v>
      </c>
      <c r="B3" t="s">
        <v>37</v>
      </c>
      <c r="C3" t="s">
        <v>50</v>
      </c>
      <c r="D3" t="s">
        <v>52</v>
      </c>
      <c r="E3" t="s">
        <v>57</v>
      </c>
      <c r="F3" s="2">
        <v>349</v>
      </c>
      <c r="G3" s="2">
        <v>1</v>
      </c>
      <c r="H3" s="2">
        <v>1</v>
      </c>
      <c r="I3" t="s">
        <v>51</v>
      </c>
      <c r="J3" t="s">
        <v>36</v>
      </c>
      <c r="K3" s="1">
        <v>45775</v>
      </c>
      <c r="L3" s="2" t="s">
        <v>418</v>
      </c>
      <c r="M3" t="s">
        <v>47</v>
      </c>
      <c r="N3">
        <v>45</v>
      </c>
    </row>
    <row r="4" spans="1:14" x14ac:dyDescent="0.3">
      <c r="A4" t="s">
        <v>64</v>
      </c>
      <c r="B4" t="s">
        <v>414</v>
      </c>
      <c r="C4" t="s">
        <v>44</v>
      </c>
      <c r="D4" t="s">
        <v>48</v>
      </c>
      <c r="E4" t="s">
        <v>46</v>
      </c>
      <c r="F4" s="2">
        <v>268</v>
      </c>
      <c r="G4" s="2">
        <v>3</v>
      </c>
      <c r="H4" s="2">
        <v>5</v>
      </c>
      <c r="I4" t="s">
        <v>35</v>
      </c>
      <c r="J4" t="s">
        <v>36</v>
      </c>
      <c r="K4" s="1">
        <v>45740</v>
      </c>
      <c r="L4" s="2" t="s">
        <v>65</v>
      </c>
      <c r="M4" t="s">
        <v>55</v>
      </c>
      <c r="N4">
        <v>49</v>
      </c>
    </row>
    <row r="5" spans="1:14" x14ac:dyDescent="0.3">
      <c r="A5" t="s">
        <v>66</v>
      </c>
      <c r="B5" t="s">
        <v>63</v>
      </c>
      <c r="C5" t="s">
        <v>32</v>
      </c>
      <c r="D5" t="s">
        <v>45</v>
      </c>
      <c r="E5" t="s">
        <v>34</v>
      </c>
      <c r="F5" s="2">
        <v>968</v>
      </c>
      <c r="G5" s="2">
        <v>5</v>
      </c>
      <c r="H5" s="2">
        <v>5</v>
      </c>
      <c r="I5" t="s">
        <v>61</v>
      </c>
      <c r="J5" t="s">
        <v>36</v>
      </c>
      <c r="K5" s="1">
        <v>45747</v>
      </c>
      <c r="L5" s="2" t="s">
        <v>419</v>
      </c>
      <c r="M5" t="s">
        <v>47</v>
      </c>
      <c r="N5">
        <v>49</v>
      </c>
    </row>
    <row r="6" spans="1:14" x14ac:dyDescent="0.3">
      <c r="A6" t="s">
        <v>67</v>
      </c>
      <c r="B6" t="s">
        <v>43</v>
      </c>
      <c r="C6" t="s">
        <v>56</v>
      </c>
      <c r="D6" t="s">
        <v>39</v>
      </c>
      <c r="E6" t="s">
        <v>34</v>
      </c>
      <c r="F6" s="2">
        <v>1550</v>
      </c>
      <c r="G6" s="2">
        <v>1</v>
      </c>
      <c r="H6" s="2">
        <v>4</v>
      </c>
      <c r="I6" t="s">
        <v>61</v>
      </c>
      <c r="J6" t="s">
        <v>36</v>
      </c>
      <c r="K6" s="1">
        <v>45674</v>
      </c>
      <c r="L6" s="2" t="s">
        <v>68</v>
      </c>
      <c r="M6" t="s">
        <v>47</v>
      </c>
      <c r="N6">
        <v>45</v>
      </c>
    </row>
    <row r="7" spans="1:14" x14ac:dyDescent="0.3">
      <c r="A7" t="s">
        <v>69</v>
      </c>
      <c r="B7" t="s">
        <v>43</v>
      </c>
      <c r="C7" t="s">
        <v>50</v>
      </c>
      <c r="D7" t="s">
        <v>62</v>
      </c>
      <c r="E7" t="s">
        <v>34</v>
      </c>
      <c r="F7" s="2">
        <v>1635</v>
      </c>
      <c r="G7" s="2">
        <v>4</v>
      </c>
      <c r="H7" s="2">
        <v>3</v>
      </c>
      <c r="I7" t="s">
        <v>40</v>
      </c>
      <c r="J7" t="s">
        <v>41</v>
      </c>
      <c r="K7" s="1">
        <v>45680</v>
      </c>
      <c r="L7" s="2" t="s">
        <v>420</v>
      </c>
      <c r="M7" t="s">
        <v>55</v>
      </c>
      <c r="N7">
        <v>45</v>
      </c>
    </row>
    <row r="8" spans="1:14" x14ac:dyDescent="0.3">
      <c r="A8" t="s">
        <v>70</v>
      </c>
      <c r="B8" t="s">
        <v>37</v>
      </c>
      <c r="C8" t="s">
        <v>54</v>
      </c>
      <c r="D8" t="s">
        <v>48</v>
      </c>
      <c r="E8" t="s">
        <v>49</v>
      </c>
      <c r="F8" s="2">
        <v>2643</v>
      </c>
      <c r="G8" s="2">
        <v>3</v>
      </c>
      <c r="H8" s="2">
        <v>2</v>
      </c>
      <c r="I8" t="s">
        <v>35</v>
      </c>
      <c r="J8" t="s">
        <v>53</v>
      </c>
      <c r="K8" s="1">
        <v>45965</v>
      </c>
      <c r="L8" s="2" t="s">
        <v>421</v>
      </c>
      <c r="M8" t="s">
        <v>47</v>
      </c>
      <c r="N8">
        <v>49</v>
      </c>
    </row>
    <row r="9" spans="1:14" x14ac:dyDescent="0.3">
      <c r="A9" t="s">
        <v>71</v>
      </c>
      <c r="B9" t="s">
        <v>63</v>
      </c>
      <c r="C9" t="s">
        <v>44</v>
      </c>
      <c r="D9" t="s">
        <v>48</v>
      </c>
      <c r="E9" t="s">
        <v>49</v>
      </c>
      <c r="F9" s="2">
        <v>1550</v>
      </c>
      <c r="G9" s="2">
        <v>5</v>
      </c>
      <c r="H9" s="2">
        <v>5</v>
      </c>
      <c r="I9" t="s">
        <v>35</v>
      </c>
      <c r="J9" t="s">
        <v>53</v>
      </c>
      <c r="K9" s="1">
        <v>45722</v>
      </c>
      <c r="L9" s="2" t="s">
        <v>72</v>
      </c>
      <c r="M9" t="s">
        <v>47</v>
      </c>
      <c r="N9">
        <v>49</v>
      </c>
    </row>
    <row r="10" spans="1:14" x14ac:dyDescent="0.3">
      <c r="A10" t="s">
        <v>73</v>
      </c>
      <c r="B10" t="s">
        <v>414</v>
      </c>
      <c r="C10" t="s">
        <v>44</v>
      </c>
      <c r="D10" t="s">
        <v>39</v>
      </c>
      <c r="E10" t="s">
        <v>57</v>
      </c>
      <c r="F10" s="2">
        <v>756</v>
      </c>
      <c r="G10" s="2">
        <v>3</v>
      </c>
      <c r="H10" s="2">
        <v>3</v>
      </c>
      <c r="I10" t="s">
        <v>51</v>
      </c>
      <c r="J10" t="s">
        <v>36</v>
      </c>
      <c r="K10" s="1">
        <v>45774</v>
      </c>
      <c r="L10" s="2" t="s">
        <v>74</v>
      </c>
      <c r="M10" t="s">
        <v>55</v>
      </c>
      <c r="N10">
        <v>49</v>
      </c>
    </row>
    <row r="11" spans="1:14" x14ac:dyDescent="0.3">
      <c r="A11" t="s">
        <v>75</v>
      </c>
      <c r="B11" t="s">
        <v>415</v>
      </c>
      <c r="C11" t="s">
        <v>54</v>
      </c>
      <c r="D11" t="s">
        <v>39</v>
      </c>
      <c r="E11" t="s">
        <v>57</v>
      </c>
      <c r="F11" s="2">
        <v>2210</v>
      </c>
      <c r="G11" s="2">
        <v>3</v>
      </c>
      <c r="H11" s="2">
        <v>5</v>
      </c>
      <c r="I11" t="s">
        <v>51</v>
      </c>
      <c r="J11" t="s">
        <v>36</v>
      </c>
      <c r="K11" s="1">
        <v>45736</v>
      </c>
      <c r="L11" s="2" t="s">
        <v>422</v>
      </c>
      <c r="M11" t="s">
        <v>47</v>
      </c>
      <c r="N11">
        <v>49</v>
      </c>
    </row>
    <row r="12" spans="1:14" x14ac:dyDescent="0.3">
      <c r="A12" t="s">
        <v>76</v>
      </c>
      <c r="B12" t="s">
        <v>414</v>
      </c>
      <c r="C12" t="s">
        <v>54</v>
      </c>
      <c r="D12" t="s">
        <v>39</v>
      </c>
      <c r="E12" t="s">
        <v>46</v>
      </c>
      <c r="F12" s="2">
        <v>1550</v>
      </c>
      <c r="G12" s="2">
        <v>3</v>
      </c>
      <c r="H12" s="2">
        <v>1</v>
      </c>
      <c r="I12" t="s">
        <v>51</v>
      </c>
      <c r="J12" t="s">
        <v>53</v>
      </c>
      <c r="K12" s="1">
        <v>45690</v>
      </c>
      <c r="L12" s="2" t="s">
        <v>423</v>
      </c>
      <c r="M12" t="s">
        <v>47</v>
      </c>
      <c r="N12">
        <v>49</v>
      </c>
    </row>
    <row r="13" spans="1:14" x14ac:dyDescent="0.3">
      <c r="A13" t="s">
        <v>77</v>
      </c>
      <c r="B13" t="s">
        <v>416</v>
      </c>
      <c r="C13" t="s">
        <v>38</v>
      </c>
      <c r="D13" t="s">
        <v>33</v>
      </c>
      <c r="E13" t="s">
        <v>59</v>
      </c>
      <c r="F13" s="2">
        <v>1604</v>
      </c>
      <c r="G13" s="2">
        <v>3</v>
      </c>
      <c r="H13" s="2">
        <v>2</v>
      </c>
      <c r="I13" t="s">
        <v>51</v>
      </c>
      <c r="J13" t="s">
        <v>36</v>
      </c>
      <c r="K13" s="1">
        <v>45763</v>
      </c>
      <c r="L13" s="2" t="s">
        <v>78</v>
      </c>
      <c r="M13" t="s">
        <v>47</v>
      </c>
      <c r="N13">
        <v>49</v>
      </c>
    </row>
    <row r="14" spans="1:14" x14ac:dyDescent="0.3">
      <c r="A14" t="s">
        <v>79</v>
      </c>
      <c r="B14" t="s">
        <v>63</v>
      </c>
      <c r="C14" t="s">
        <v>54</v>
      </c>
      <c r="D14" t="s">
        <v>62</v>
      </c>
      <c r="E14" t="s">
        <v>57</v>
      </c>
      <c r="F14" s="2">
        <v>2727</v>
      </c>
      <c r="G14" s="2">
        <v>4</v>
      </c>
      <c r="H14" s="2">
        <v>3</v>
      </c>
      <c r="I14" t="s">
        <v>35</v>
      </c>
      <c r="J14" t="s">
        <v>36</v>
      </c>
      <c r="K14" s="1">
        <v>45771</v>
      </c>
      <c r="L14" s="2" t="s">
        <v>424</v>
      </c>
      <c r="M14" t="s">
        <v>55</v>
      </c>
      <c r="N14">
        <v>49</v>
      </c>
    </row>
    <row r="15" spans="1:14" x14ac:dyDescent="0.3">
      <c r="A15" t="s">
        <v>80</v>
      </c>
      <c r="B15" t="s">
        <v>43</v>
      </c>
      <c r="C15" t="s">
        <v>32</v>
      </c>
      <c r="D15" t="s">
        <v>45</v>
      </c>
      <c r="E15" t="s">
        <v>49</v>
      </c>
      <c r="F15" s="2">
        <v>1751</v>
      </c>
      <c r="G15" s="2">
        <v>1</v>
      </c>
      <c r="H15" s="2">
        <v>3</v>
      </c>
      <c r="I15" t="s">
        <v>35</v>
      </c>
      <c r="J15" t="s">
        <v>36</v>
      </c>
      <c r="K15" s="1">
        <v>45729</v>
      </c>
      <c r="L15" s="2" t="s">
        <v>81</v>
      </c>
      <c r="M15" t="s">
        <v>55</v>
      </c>
      <c r="N15">
        <v>49</v>
      </c>
    </row>
    <row r="16" spans="1:14" x14ac:dyDescent="0.3">
      <c r="A16" t="s">
        <v>82</v>
      </c>
      <c r="B16" t="s">
        <v>37</v>
      </c>
      <c r="C16" t="s">
        <v>54</v>
      </c>
      <c r="D16" t="s">
        <v>48</v>
      </c>
      <c r="E16" t="s">
        <v>46</v>
      </c>
      <c r="F16" s="2">
        <v>2951</v>
      </c>
      <c r="G16" s="2">
        <v>4</v>
      </c>
      <c r="H16" s="2">
        <v>4</v>
      </c>
      <c r="I16" t="s">
        <v>35</v>
      </c>
      <c r="J16" t="s">
        <v>41</v>
      </c>
      <c r="K16" s="1">
        <v>45773</v>
      </c>
      <c r="L16" s="2" t="s">
        <v>83</v>
      </c>
      <c r="M16" t="s">
        <v>55</v>
      </c>
      <c r="N16">
        <v>49</v>
      </c>
    </row>
    <row r="17" spans="1:14" x14ac:dyDescent="0.3">
      <c r="A17" t="s">
        <v>84</v>
      </c>
      <c r="B17" t="s">
        <v>63</v>
      </c>
      <c r="C17" t="s">
        <v>32</v>
      </c>
      <c r="D17" t="s">
        <v>39</v>
      </c>
      <c r="E17" t="s">
        <v>49</v>
      </c>
      <c r="F17" s="2">
        <v>311</v>
      </c>
      <c r="G17" s="2">
        <v>2</v>
      </c>
      <c r="H17" s="2">
        <v>4</v>
      </c>
      <c r="I17" t="s">
        <v>40</v>
      </c>
      <c r="J17" t="s">
        <v>36</v>
      </c>
      <c r="K17" s="1">
        <v>45684</v>
      </c>
      <c r="L17" s="2" t="s">
        <v>425</v>
      </c>
      <c r="M17" t="s">
        <v>47</v>
      </c>
      <c r="N17">
        <v>45</v>
      </c>
    </row>
    <row r="18" spans="1:14" x14ac:dyDescent="0.3">
      <c r="A18" t="s">
        <v>85</v>
      </c>
      <c r="B18" t="s">
        <v>415</v>
      </c>
      <c r="C18" t="s">
        <v>32</v>
      </c>
      <c r="D18" t="s">
        <v>52</v>
      </c>
      <c r="E18" t="s">
        <v>34</v>
      </c>
      <c r="F18" s="2">
        <v>1550</v>
      </c>
      <c r="G18" s="2">
        <v>2</v>
      </c>
      <c r="H18" s="2">
        <v>3</v>
      </c>
      <c r="I18" t="s">
        <v>61</v>
      </c>
      <c r="J18" t="s">
        <v>36</v>
      </c>
      <c r="K18" s="1">
        <v>45762</v>
      </c>
      <c r="L18" s="2" t="s">
        <v>426</v>
      </c>
      <c r="M18" t="s">
        <v>55</v>
      </c>
      <c r="N18">
        <v>45</v>
      </c>
    </row>
    <row r="19" spans="1:14" x14ac:dyDescent="0.3">
      <c r="A19" t="s">
        <v>86</v>
      </c>
      <c r="B19" t="s">
        <v>414</v>
      </c>
      <c r="C19" t="s">
        <v>44</v>
      </c>
      <c r="D19" t="s">
        <v>52</v>
      </c>
      <c r="E19" t="s">
        <v>34</v>
      </c>
      <c r="F19" s="2">
        <v>1505</v>
      </c>
      <c r="G19" s="2">
        <v>3</v>
      </c>
      <c r="H19" s="2">
        <v>5</v>
      </c>
      <c r="I19" t="s">
        <v>51</v>
      </c>
      <c r="J19" t="s">
        <v>36</v>
      </c>
      <c r="K19" s="1">
        <v>45714</v>
      </c>
      <c r="L19" s="2" t="s">
        <v>87</v>
      </c>
      <c r="M19" t="s">
        <v>47</v>
      </c>
      <c r="N19">
        <v>49</v>
      </c>
    </row>
    <row r="20" spans="1:14" x14ac:dyDescent="0.3">
      <c r="A20" t="s">
        <v>88</v>
      </c>
      <c r="B20" t="s">
        <v>63</v>
      </c>
      <c r="C20" t="s">
        <v>50</v>
      </c>
      <c r="D20" t="s">
        <v>62</v>
      </c>
      <c r="E20" t="s">
        <v>34</v>
      </c>
      <c r="F20" s="2">
        <v>2821</v>
      </c>
      <c r="G20" s="2">
        <v>3</v>
      </c>
      <c r="H20" s="2">
        <v>5</v>
      </c>
      <c r="I20" t="s">
        <v>40</v>
      </c>
      <c r="J20" t="s">
        <v>36</v>
      </c>
      <c r="K20" s="1">
        <v>45741</v>
      </c>
      <c r="L20" s="2" t="s">
        <v>427</v>
      </c>
      <c r="M20" t="s">
        <v>55</v>
      </c>
      <c r="N20">
        <v>45</v>
      </c>
    </row>
    <row r="21" spans="1:14" x14ac:dyDescent="0.3">
      <c r="A21" t="s">
        <v>89</v>
      </c>
      <c r="B21" t="s">
        <v>43</v>
      </c>
      <c r="C21" t="s">
        <v>44</v>
      </c>
      <c r="D21" t="s">
        <v>33</v>
      </c>
      <c r="E21" t="s">
        <v>34</v>
      </c>
      <c r="F21" s="2">
        <v>2408</v>
      </c>
      <c r="G21" s="2">
        <v>3</v>
      </c>
      <c r="H21" s="2">
        <v>5</v>
      </c>
      <c r="I21" t="s">
        <v>40</v>
      </c>
      <c r="J21" t="s">
        <v>36</v>
      </c>
      <c r="K21" s="1">
        <v>45662</v>
      </c>
      <c r="L21" s="2" t="s">
        <v>428</v>
      </c>
      <c r="M21" t="s">
        <v>47</v>
      </c>
      <c r="N21">
        <v>49</v>
      </c>
    </row>
    <row r="22" spans="1:14" x14ac:dyDescent="0.3">
      <c r="A22" t="s">
        <v>90</v>
      </c>
      <c r="B22" t="s">
        <v>415</v>
      </c>
      <c r="C22" t="s">
        <v>54</v>
      </c>
      <c r="D22" t="s">
        <v>33</v>
      </c>
      <c r="E22" t="s">
        <v>49</v>
      </c>
      <c r="F22" s="2">
        <v>766</v>
      </c>
      <c r="G22" s="2">
        <v>5</v>
      </c>
      <c r="H22" s="2">
        <v>1</v>
      </c>
      <c r="I22" t="s">
        <v>61</v>
      </c>
      <c r="J22" t="s">
        <v>53</v>
      </c>
      <c r="K22" s="1">
        <v>45671</v>
      </c>
      <c r="L22" s="2" t="s">
        <v>429</v>
      </c>
      <c r="M22" t="s">
        <v>47</v>
      </c>
      <c r="N22">
        <v>85</v>
      </c>
    </row>
    <row r="23" spans="1:14" x14ac:dyDescent="0.3">
      <c r="A23" t="s">
        <v>91</v>
      </c>
      <c r="B23" t="s">
        <v>58</v>
      </c>
      <c r="C23" t="s">
        <v>38</v>
      </c>
      <c r="D23" t="s">
        <v>33</v>
      </c>
      <c r="E23" t="s">
        <v>59</v>
      </c>
      <c r="F23" s="2">
        <v>2443</v>
      </c>
      <c r="G23" s="2">
        <v>3</v>
      </c>
      <c r="H23" s="2">
        <v>5</v>
      </c>
      <c r="I23" t="s">
        <v>51</v>
      </c>
      <c r="J23" t="s">
        <v>41</v>
      </c>
      <c r="K23" s="1">
        <v>45737</v>
      </c>
      <c r="L23" s="2" t="s">
        <v>430</v>
      </c>
      <c r="M23" t="s">
        <v>47</v>
      </c>
      <c r="N23">
        <v>49</v>
      </c>
    </row>
    <row r="24" spans="1:14" x14ac:dyDescent="0.3">
      <c r="A24" t="s">
        <v>92</v>
      </c>
      <c r="B24" t="s">
        <v>63</v>
      </c>
      <c r="C24" t="s">
        <v>56</v>
      </c>
      <c r="D24" t="s">
        <v>33</v>
      </c>
      <c r="E24" t="s">
        <v>34</v>
      </c>
      <c r="F24" s="2">
        <v>1622</v>
      </c>
      <c r="G24" s="2">
        <v>5</v>
      </c>
      <c r="H24" s="2">
        <v>3</v>
      </c>
      <c r="I24" t="s">
        <v>35</v>
      </c>
      <c r="J24" t="s">
        <v>36</v>
      </c>
      <c r="K24" s="1">
        <v>45664</v>
      </c>
      <c r="L24" s="2" t="s">
        <v>93</v>
      </c>
      <c r="M24" t="s">
        <v>55</v>
      </c>
      <c r="N24">
        <v>49</v>
      </c>
    </row>
    <row r="25" spans="1:14" x14ac:dyDescent="0.3">
      <c r="A25" t="s">
        <v>94</v>
      </c>
      <c r="B25" t="s">
        <v>415</v>
      </c>
      <c r="C25" t="s">
        <v>38</v>
      </c>
      <c r="D25" t="s">
        <v>39</v>
      </c>
      <c r="E25" t="s">
        <v>59</v>
      </c>
      <c r="F25" s="2">
        <v>1931</v>
      </c>
      <c r="G25" s="2">
        <v>2</v>
      </c>
      <c r="H25" s="2">
        <v>3</v>
      </c>
      <c r="I25" t="s">
        <v>35</v>
      </c>
      <c r="J25" t="s">
        <v>36</v>
      </c>
      <c r="K25" s="1">
        <v>45709</v>
      </c>
      <c r="L25" s="2" t="s">
        <v>95</v>
      </c>
      <c r="M25" t="s">
        <v>47</v>
      </c>
      <c r="N25">
        <v>45</v>
      </c>
    </row>
    <row r="26" spans="1:14" x14ac:dyDescent="0.3">
      <c r="A26" t="s">
        <v>96</v>
      </c>
      <c r="B26" t="s">
        <v>414</v>
      </c>
      <c r="C26" t="s">
        <v>32</v>
      </c>
      <c r="D26" t="s">
        <v>52</v>
      </c>
      <c r="E26" t="s">
        <v>59</v>
      </c>
      <c r="F26" s="2">
        <v>538</v>
      </c>
      <c r="G26" s="2">
        <v>4</v>
      </c>
      <c r="H26" s="2">
        <v>4</v>
      </c>
      <c r="I26" t="s">
        <v>35</v>
      </c>
      <c r="J26" t="s">
        <v>36</v>
      </c>
      <c r="K26" s="1">
        <v>45685</v>
      </c>
      <c r="L26" s="2" t="s">
        <v>97</v>
      </c>
      <c r="M26" t="s">
        <v>55</v>
      </c>
      <c r="N26">
        <v>20</v>
      </c>
    </row>
    <row r="27" spans="1:14" x14ac:dyDescent="0.3">
      <c r="A27" t="s">
        <v>98</v>
      </c>
      <c r="B27" t="s">
        <v>415</v>
      </c>
      <c r="C27" t="s">
        <v>38</v>
      </c>
      <c r="D27" t="s">
        <v>33</v>
      </c>
      <c r="E27" t="s">
        <v>46</v>
      </c>
      <c r="F27" s="2">
        <v>2165</v>
      </c>
      <c r="G27" s="2">
        <v>1</v>
      </c>
      <c r="H27" s="2">
        <v>3</v>
      </c>
      <c r="I27" t="s">
        <v>51</v>
      </c>
      <c r="J27" t="s">
        <v>36</v>
      </c>
      <c r="K27" s="1">
        <v>45757</v>
      </c>
      <c r="L27" s="2" t="s">
        <v>431</v>
      </c>
      <c r="M27" t="s">
        <v>47</v>
      </c>
      <c r="N27">
        <v>49</v>
      </c>
    </row>
    <row r="28" spans="1:14" x14ac:dyDescent="0.3">
      <c r="A28" t="s">
        <v>99</v>
      </c>
      <c r="B28" t="s">
        <v>37</v>
      </c>
      <c r="C28" t="s">
        <v>54</v>
      </c>
      <c r="D28" t="s">
        <v>45</v>
      </c>
      <c r="E28" t="s">
        <v>49</v>
      </c>
      <c r="F28" s="2">
        <v>2752</v>
      </c>
      <c r="G28" s="2">
        <v>4</v>
      </c>
      <c r="H28" s="2">
        <v>4</v>
      </c>
      <c r="I28" t="s">
        <v>61</v>
      </c>
      <c r="J28" t="s">
        <v>36</v>
      </c>
      <c r="K28" s="1">
        <v>45680</v>
      </c>
      <c r="L28" s="2" t="s">
        <v>100</v>
      </c>
      <c r="M28" t="s">
        <v>55</v>
      </c>
      <c r="N28">
        <v>49</v>
      </c>
    </row>
    <row r="29" spans="1:14" x14ac:dyDescent="0.3">
      <c r="A29" t="s">
        <v>101</v>
      </c>
      <c r="B29" t="s">
        <v>63</v>
      </c>
      <c r="C29" t="s">
        <v>54</v>
      </c>
      <c r="D29" t="s">
        <v>39</v>
      </c>
      <c r="E29" t="s">
        <v>59</v>
      </c>
      <c r="F29" s="2">
        <v>279</v>
      </c>
      <c r="G29" s="2">
        <v>2</v>
      </c>
      <c r="H29" s="2">
        <v>2</v>
      </c>
      <c r="I29" t="s">
        <v>35</v>
      </c>
      <c r="J29" t="s">
        <v>41</v>
      </c>
      <c r="K29" s="1">
        <v>45756</v>
      </c>
      <c r="L29" s="2" t="s">
        <v>432</v>
      </c>
      <c r="M29" t="s">
        <v>55</v>
      </c>
      <c r="N29">
        <v>45</v>
      </c>
    </row>
    <row r="30" spans="1:14" x14ac:dyDescent="0.3">
      <c r="A30" t="s">
        <v>102</v>
      </c>
      <c r="B30" t="s">
        <v>416</v>
      </c>
      <c r="C30" t="s">
        <v>44</v>
      </c>
      <c r="D30" t="s">
        <v>39</v>
      </c>
      <c r="E30" t="s">
        <v>57</v>
      </c>
      <c r="F30" s="2">
        <v>2348</v>
      </c>
      <c r="G30" s="2">
        <v>5</v>
      </c>
      <c r="H30" s="2">
        <v>2</v>
      </c>
      <c r="I30" t="s">
        <v>61</v>
      </c>
      <c r="J30" t="s">
        <v>36</v>
      </c>
      <c r="K30" s="1">
        <v>45683</v>
      </c>
      <c r="L30" s="2" t="s">
        <v>433</v>
      </c>
      <c r="M30" t="s">
        <v>47</v>
      </c>
      <c r="N30">
        <v>51</v>
      </c>
    </row>
    <row r="31" spans="1:14" x14ac:dyDescent="0.3">
      <c r="A31" t="s">
        <v>103</v>
      </c>
      <c r="B31" t="s">
        <v>63</v>
      </c>
      <c r="C31" t="s">
        <v>38</v>
      </c>
      <c r="D31" t="s">
        <v>45</v>
      </c>
      <c r="E31" t="s">
        <v>59</v>
      </c>
      <c r="F31" s="2">
        <v>1569</v>
      </c>
      <c r="G31" s="2">
        <v>3</v>
      </c>
      <c r="H31" s="2">
        <v>2</v>
      </c>
      <c r="I31" t="s">
        <v>61</v>
      </c>
      <c r="J31" t="s">
        <v>41</v>
      </c>
      <c r="K31" s="1">
        <v>45772</v>
      </c>
      <c r="L31" s="2" t="s">
        <v>104</v>
      </c>
      <c r="M31" t="s">
        <v>47</v>
      </c>
      <c r="N31">
        <v>79</v>
      </c>
    </row>
    <row r="32" spans="1:14" x14ac:dyDescent="0.3">
      <c r="A32" t="s">
        <v>105</v>
      </c>
      <c r="B32" t="s">
        <v>58</v>
      </c>
      <c r="C32" t="s">
        <v>56</v>
      </c>
      <c r="D32" t="s">
        <v>52</v>
      </c>
      <c r="E32" t="s">
        <v>49</v>
      </c>
      <c r="F32" s="2">
        <v>2633</v>
      </c>
      <c r="G32" s="2">
        <v>2</v>
      </c>
      <c r="H32" s="2">
        <v>2</v>
      </c>
      <c r="I32" t="s">
        <v>35</v>
      </c>
      <c r="J32" t="s">
        <v>41</v>
      </c>
      <c r="K32" s="1">
        <v>45742</v>
      </c>
      <c r="L32" s="2" t="s">
        <v>106</v>
      </c>
      <c r="M32" t="s">
        <v>55</v>
      </c>
      <c r="N32">
        <v>49</v>
      </c>
    </row>
    <row r="33" spans="1:14" x14ac:dyDescent="0.3">
      <c r="A33" t="s">
        <v>107</v>
      </c>
      <c r="B33" t="s">
        <v>415</v>
      </c>
      <c r="C33" t="s">
        <v>50</v>
      </c>
      <c r="D33" t="s">
        <v>33</v>
      </c>
      <c r="E33" t="s">
        <v>46</v>
      </c>
      <c r="F33" s="2">
        <v>1944</v>
      </c>
      <c r="G33" s="2">
        <v>3</v>
      </c>
      <c r="H33" s="2">
        <v>1</v>
      </c>
      <c r="I33" t="s">
        <v>40</v>
      </c>
      <c r="J33" t="s">
        <v>41</v>
      </c>
      <c r="K33" s="1">
        <v>45688</v>
      </c>
      <c r="L33" s="2" t="s">
        <v>434</v>
      </c>
      <c r="M33" t="s">
        <v>55</v>
      </c>
      <c r="N33">
        <v>28</v>
      </c>
    </row>
    <row r="34" spans="1:14" x14ac:dyDescent="0.3">
      <c r="A34" t="s">
        <v>108</v>
      </c>
      <c r="B34" t="s">
        <v>414</v>
      </c>
      <c r="C34" t="s">
        <v>38</v>
      </c>
      <c r="D34" t="s">
        <v>33</v>
      </c>
      <c r="E34" t="s">
        <v>49</v>
      </c>
      <c r="F34" s="2">
        <v>2942</v>
      </c>
      <c r="G34" s="2">
        <v>5</v>
      </c>
      <c r="H34" s="2">
        <v>5</v>
      </c>
      <c r="I34" t="s">
        <v>51</v>
      </c>
      <c r="J34" t="s">
        <v>41</v>
      </c>
      <c r="K34" s="1">
        <v>45767</v>
      </c>
      <c r="L34" s="2" t="s">
        <v>109</v>
      </c>
      <c r="M34" t="s">
        <v>55</v>
      </c>
      <c r="N34">
        <v>49</v>
      </c>
    </row>
    <row r="35" spans="1:14" x14ac:dyDescent="0.3">
      <c r="A35" t="s">
        <v>110</v>
      </c>
      <c r="B35" t="s">
        <v>414</v>
      </c>
      <c r="C35" t="s">
        <v>50</v>
      </c>
      <c r="D35" t="s">
        <v>45</v>
      </c>
      <c r="E35" t="s">
        <v>34</v>
      </c>
      <c r="F35" s="2">
        <v>1576</v>
      </c>
      <c r="G35" s="2">
        <v>2</v>
      </c>
      <c r="H35" s="2">
        <v>4</v>
      </c>
      <c r="I35" t="s">
        <v>51</v>
      </c>
      <c r="J35" t="s">
        <v>53</v>
      </c>
      <c r="K35" s="1">
        <v>45659</v>
      </c>
      <c r="L35" s="2" t="s">
        <v>111</v>
      </c>
      <c r="M35" t="s">
        <v>55</v>
      </c>
      <c r="N35">
        <v>46</v>
      </c>
    </row>
    <row r="36" spans="1:14" x14ac:dyDescent="0.3">
      <c r="A36" t="s">
        <v>112</v>
      </c>
      <c r="B36" t="s">
        <v>43</v>
      </c>
      <c r="C36" t="s">
        <v>54</v>
      </c>
      <c r="D36" t="s">
        <v>48</v>
      </c>
      <c r="E36" t="s">
        <v>46</v>
      </c>
      <c r="F36" s="2">
        <v>1550</v>
      </c>
      <c r="G36" s="2">
        <v>4</v>
      </c>
      <c r="H36" s="2">
        <v>3</v>
      </c>
      <c r="I36" t="s">
        <v>40</v>
      </c>
      <c r="J36" t="s">
        <v>36</v>
      </c>
      <c r="K36" s="1">
        <v>45694</v>
      </c>
      <c r="L36" s="2" t="s">
        <v>113</v>
      </c>
      <c r="M36" t="s">
        <v>47</v>
      </c>
      <c r="N36">
        <v>81</v>
      </c>
    </row>
    <row r="37" spans="1:14" x14ac:dyDescent="0.3">
      <c r="A37" t="s">
        <v>114</v>
      </c>
      <c r="B37" t="s">
        <v>415</v>
      </c>
      <c r="C37" t="s">
        <v>32</v>
      </c>
      <c r="D37" t="s">
        <v>45</v>
      </c>
      <c r="E37" t="s">
        <v>57</v>
      </c>
      <c r="F37" s="2">
        <v>1803</v>
      </c>
      <c r="G37" s="2">
        <v>1</v>
      </c>
      <c r="H37" s="2">
        <v>5</v>
      </c>
      <c r="I37" t="s">
        <v>35</v>
      </c>
      <c r="J37" t="s">
        <v>41</v>
      </c>
      <c r="K37" s="1">
        <v>45667</v>
      </c>
      <c r="L37" s="2" t="s">
        <v>115</v>
      </c>
      <c r="M37" t="s">
        <v>47</v>
      </c>
      <c r="N37">
        <v>49</v>
      </c>
    </row>
    <row r="38" spans="1:14" x14ac:dyDescent="0.3">
      <c r="A38" t="s">
        <v>116</v>
      </c>
      <c r="B38" t="s">
        <v>58</v>
      </c>
      <c r="C38" t="s">
        <v>38</v>
      </c>
      <c r="D38" t="s">
        <v>52</v>
      </c>
      <c r="E38" t="s">
        <v>49</v>
      </c>
      <c r="F38" s="2">
        <v>1476</v>
      </c>
      <c r="G38" s="2">
        <v>3</v>
      </c>
      <c r="H38" s="2">
        <v>5</v>
      </c>
      <c r="I38" t="s">
        <v>35</v>
      </c>
      <c r="J38" t="s">
        <v>36</v>
      </c>
      <c r="K38" s="1">
        <v>45811</v>
      </c>
      <c r="L38" s="2" t="s">
        <v>435</v>
      </c>
      <c r="M38" t="s">
        <v>55</v>
      </c>
      <c r="N38">
        <v>45</v>
      </c>
    </row>
    <row r="39" spans="1:14" x14ac:dyDescent="0.3">
      <c r="A39" t="s">
        <v>117</v>
      </c>
      <c r="B39" t="s">
        <v>43</v>
      </c>
      <c r="C39" t="s">
        <v>50</v>
      </c>
      <c r="D39" t="s">
        <v>33</v>
      </c>
      <c r="E39" t="s">
        <v>57</v>
      </c>
      <c r="F39" s="2">
        <v>1349</v>
      </c>
      <c r="G39" s="2">
        <v>2</v>
      </c>
      <c r="H39" s="2">
        <v>4</v>
      </c>
      <c r="I39" t="s">
        <v>40</v>
      </c>
      <c r="J39" t="s">
        <v>41</v>
      </c>
      <c r="K39" s="1">
        <v>45727</v>
      </c>
      <c r="L39" s="2" t="s">
        <v>436</v>
      </c>
      <c r="M39" t="s">
        <v>47</v>
      </c>
      <c r="N39">
        <v>63</v>
      </c>
    </row>
    <row r="40" spans="1:14" x14ac:dyDescent="0.3">
      <c r="A40" t="s">
        <v>118</v>
      </c>
      <c r="B40" t="s">
        <v>58</v>
      </c>
      <c r="C40" t="s">
        <v>56</v>
      </c>
      <c r="D40" t="s">
        <v>62</v>
      </c>
      <c r="E40" t="s">
        <v>34</v>
      </c>
      <c r="F40" s="2">
        <v>2631</v>
      </c>
      <c r="G40" s="2">
        <v>1</v>
      </c>
      <c r="H40" s="2">
        <v>3</v>
      </c>
      <c r="I40" t="s">
        <v>35</v>
      </c>
      <c r="J40" t="s">
        <v>36</v>
      </c>
      <c r="K40" s="1">
        <v>45707</v>
      </c>
      <c r="L40" s="2" t="s">
        <v>119</v>
      </c>
      <c r="M40" t="s">
        <v>47</v>
      </c>
      <c r="N40">
        <v>49</v>
      </c>
    </row>
    <row r="41" spans="1:14" x14ac:dyDescent="0.3">
      <c r="A41" t="s">
        <v>120</v>
      </c>
      <c r="B41" t="s">
        <v>416</v>
      </c>
      <c r="C41" t="s">
        <v>38</v>
      </c>
      <c r="D41" t="s">
        <v>45</v>
      </c>
      <c r="E41" t="s">
        <v>59</v>
      </c>
      <c r="F41" s="2">
        <v>770</v>
      </c>
      <c r="G41" s="2">
        <v>1</v>
      </c>
      <c r="H41" s="2">
        <v>3</v>
      </c>
      <c r="I41" t="s">
        <v>35</v>
      </c>
      <c r="J41" t="s">
        <v>53</v>
      </c>
      <c r="K41" s="1">
        <v>45710</v>
      </c>
      <c r="L41" s="2" t="s">
        <v>437</v>
      </c>
      <c r="M41" t="s">
        <v>47</v>
      </c>
      <c r="N41">
        <v>49</v>
      </c>
    </row>
    <row r="42" spans="1:14" x14ac:dyDescent="0.3">
      <c r="A42" t="s">
        <v>121</v>
      </c>
      <c r="B42" t="s">
        <v>415</v>
      </c>
      <c r="C42" t="s">
        <v>56</v>
      </c>
      <c r="D42" t="s">
        <v>52</v>
      </c>
      <c r="E42" t="s">
        <v>46</v>
      </c>
      <c r="F42" s="2">
        <v>1550</v>
      </c>
      <c r="G42" s="2">
        <v>3</v>
      </c>
      <c r="H42" s="2">
        <v>2</v>
      </c>
      <c r="I42" t="s">
        <v>35</v>
      </c>
      <c r="J42" t="s">
        <v>41</v>
      </c>
      <c r="K42" s="1">
        <v>45770</v>
      </c>
      <c r="L42" s="2" t="s">
        <v>438</v>
      </c>
      <c r="M42" t="s">
        <v>47</v>
      </c>
      <c r="N42">
        <v>45</v>
      </c>
    </row>
    <row r="43" spans="1:14" x14ac:dyDescent="0.3">
      <c r="A43" t="s">
        <v>122</v>
      </c>
      <c r="B43" t="s">
        <v>414</v>
      </c>
      <c r="C43" t="s">
        <v>38</v>
      </c>
      <c r="D43" t="s">
        <v>33</v>
      </c>
      <c r="E43" t="s">
        <v>57</v>
      </c>
      <c r="F43" s="2">
        <v>1434</v>
      </c>
      <c r="G43" s="2">
        <v>5</v>
      </c>
      <c r="H43" s="2">
        <v>3</v>
      </c>
      <c r="I43" t="s">
        <v>51</v>
      </c>
      <c r="J43" t="s">
        <v>36</v>
      </c>
      <c r="K43" s="1">
        <v>45710</v>
      </c>
      <c r="L43" s="2" t="s">
        <v>439</v>
      </c>
      <c r="M43" t="s">
        <v>55</v>
      </c>
      <c r="N43">
        <v>64</v>
      </c>
    </row>
    <row r="44" spans="1:14" x14ac:dyDescent="0.3">
      <c r="A44" t="s">
        <v>123</v>
      </c>
      <c r="B44" t="s">
        <v>414</v>
      </c>
      <c r="C44" t="s">
        <v>56</v>
      </c>
      <c r="D44" t="s">
        <v>39</v>
      </c>
      <c r="E44" t="s">
        <v>49</v>
      </c>
      <c r="F44" s="2">
        <v>1791</v>
      </c>
      <c r="G44" s="2">
        <v>3</v>
      </c>
      <c r="H44" s="2">
        <v>3</v>
      </c>
      <c r="I44" t="s">
        <v>40</v>
      </c>
      <c r="J44" t="s">
        <v>36</v>
      </c>
      <c r="K44" s="1">
        <v>45751</v>
      </c>
      <c r="L44" s="2" t="s">
        <v>124</v>
      </c>
      <c r="M44" t="s">
        <v>47</v>
      </c>
      <c r="N44">
        <v>49</v>
      </c>
    </row>
    <row r="45" spans="1:14" x14ac:dyDescent="0.3">
      <c r="A45" t="s">
        <v>125</v>
      </c>
      <c r="B45" t="s">
        <v>416</v>
      </c>
      <c r="C45" t="s">
        <v>50</v>
      </c>
      <c r="D45" t="s">
        <v>39</v>
      </c>
      <c r="E45" t="s">
        <v>57</v>
      </c>
      <c r="F45" s="2">
        <v>2855</v>
      </c>
      <c r="G45" s="2">
        <v>3</v>
      </c>
      <c r="H45" s="2">
        <v>2</v>
      </c>
      <c r="I45" t="s">
        <v>35</v>
      </c>
      <c r="J45" t="s">
        <v>41</v>
      </c>
      <c r="K45" s="1">
        <v>45715</v>
      </c>
      <c r="L45" s="2" t="s">
        <v>440</v>
      </c>
      <c r="M45" t="s">
        <v>47</v>
      </c>
      <c r="N45">
        <v>18</v>
      </c>
    </row>
    <row r="46" spans="1:14" x14ac:dyDescent="0.3">
      <c r="A46" t="s">
        <v>126</v>
      </c>
      <c r="B46" t="s">
        <v>414</v>
      </c>
      <c r="C46" t="s">
        <v>56</v>
      </c>
      <c r="D46" t="s">
        <v>33</v>
      </c>
      <c r="E46" t="s">
        <v>59</v>
      </c>
      <c r="F46" s="2">
        <v>2137</v>
      </c>
      <c r="G46" s="2">
        <v>1</v>
      </c>
      <c r="H46" s="2">
        <v>5</v>
      </c>
      <c r="I46" t="s">
        <v>61</v>
      </c>
      <c r="J46" t="s">
        <v>41</v>
      </c>
      <c r="K46" s="1">
        <v>45713</v>
      </c>
      <c r="L46" s="2" t="s">
        <v>127</v>
      </c>
      <c r="M46" t="s">
        <v>47</v>
      </c>
      <c r="N46">
        <v>45</v>
      </c>
    </row>
    <row r="47" spans="1:14" x14ac:dyDescent="0.3">
      <c r="A47" t="s">
        <v>128</v>
      </c>
      <c r="B47" t="s">
        <v>416</v>
      </c>
      <c r="C47" t="s">
        <v>32</v>
      </c>
      <c r="D47" t="s">
        <v>45</v>
      </c>
      <c r="E47" t="s">
        <v>46</v>
      </c>
      <c r="F47" s="2">
        <v>1550</v>
      </c>
      <c r="G47" s="2">
        <v>2</v>
      </c>
      <c r="H47" s="2">
        <v>3</v>
      </c>
      <c r="I47" t="s">
        <v>40</v>
      </c>
      <c r="J47" t="s">
        <v>41</v>
      </c>
      <c r="K47" s="1">
        <v>45744</v>
      </c>
      <c r="L47" s="2" t="s">
        <v>441</v>
      </c>
      <c r="M47" t="s">
        <v>47</v>
      </c>
      <c r="N47">
        <v>49</v>
      </c>
    </row>
    <row r="48" spans="1:14" x14ac:dyDescent="0.3">
      <c r="A48" t="s">
        <v>129</v>
      </c>
      <c r="B48" t="s">
        <v>416</v>
      </c>
      <c r="C48" t="s">
        <v>32</v>
      </c>
      <c r="D48" t="s">
        <v>45</v>
      </c>
      <c r="E48" t="s">
        <v>57</v>
      </c>
      <c r="F48" s="2">
        <v>1550</v>
      </c>
      <c r="G48" s="2">
        <v>1</v>
      </c>
      <c r="H48" s="2">
        <v>4</v>
      </c>
      <c r="I48" t="s">
        <v>35</v>
      </c>
      <c r="J48" t="s">
        <v>36</v>
      </c>
      <c r="K48" s="1">
        <v>45759</v>
      </c>
      <c r="L48" s="2" t="s">
        <v>130</v>
      </c>
      <c r="M48" t="s">
        <v>47</v>
      </c>
      <c r="N48">
        <v>53</v>
      </c>
    </row>
    <row r="49" spans="1:14" x14ac:dyDescent="0.3">
      <c r="A49" t="s">
        <v>131</v>
      </c>
      <c r="B49" t="s">
        <v>414</v>
      </c>
      <c r="C49" t="s">
        <v>54</v>
      </c>
      <c r="D49" t="s">
        <v>62</v>
      </c>
      <c r="E49" t="s">
        <v>46</v>
      </c>
      <c r="F49" s="2">
        <v>884</v>
      </c>
      <c r="G49" s="2">
        <v>1</v>
      </c>
      <c r="H49" s="2">
        <v>2</v>
      </c>
      <c r="I49" t="s">
        <v>40</v>
      </c>
      <c r="J49" t="s">
        <v>36</v>
      </c>
      <c r="K49" s="1">
        <v>45766</v>
      </c>
      <c r="L49" s="2" t="s">
        <v>442</v>
      </c>
      <c r="M49" t="s">
        <v>55</v>
      </c>
      <c r="N49">
        <v>45</v>
      </c>
    </row>
    <row r="50" spans="1:14" x14ac:dyDescent="0.3">
      <c r="A50" t="s">
        <v>132</v>
      </c>
      <c r="B50" t="s">
        <v>414</v>
      </c>
      <c r="C50" t="s">
        <v>44</v>
      </c>
      <c r="D50" t="s">
        <v>39</v>
      </c>
      <c r="E50" t="s">
        <v>59</v>
      </c>
      <c r="F50" s="2">
        <v>1550</v>
      </c>
      <c r="G50" s="2">
        <v>3</v>
      </c>
      <c r="H50" s="2">
        <v>5</v>
      </c>
      <c r="I50" t="s">
        <v>61</v>
      </c>
      <c r="J50" t="s">
        <v>36</v>
      </c>
      <c r="K50" s="1">
        <v>45727</v>
      </c>
      <c r="L50" s="2" t="s">
        <v>133</v>
      </c>
      <c r="M50" t="s">
        <v>55</v>
      </c>
      <c r="N50">
        <v>49</v>
      </c>
    </row>
    <row r="51" spans="1:14" x14ac:dyDescent="0.3">
      <c r="A51" t="s">
        <v>134</v>
      </c>
      <c r="B51" t="s">
        <v>58</v>
      </c>
      <c r="C51" t="s">
        <v>50</v>
      </c>
      <c r="D51" t="s">
        <v>33</v>
      </c>
      <c r="E51" t="s">
        <v>46</v>
      </c>
      <c r="F51" s="2">
        <v>1550</v>
      </c>
      <c r="G51" s="2">
        <v>1</v>
      </c>
      <c r="H51" s="2">
        <v>1</v>
      </c>
      <c r="I51" t="s">
        <v>35</v>
      </c>
      <c r="J51" t="s">
        <v>53</v>
      </c>
      <c r="K51" s="1">
        <v>45735</v>
      </c>
      <c r="L51" s="2" t="s">
        <v>135</v>
      </c>
      <c r="M51" t="s">
        <v>55</v>
      </c>
      <c r="N51">
        <v>45</v>
      </c>
    </row>
    <row r="52" spans="1:14" x14ac:dyDescent="0.3">
      <c r="A52" t="s">
        <v>136</v>
      </c>
      <c r="B52" t="s">
        <v>414</v>
      </c>
      <c r="C52" t="s">
        <v>54</v>
      </c>
      <c r="D52" t="s">
        <v>33</v>
      </c>
      <c r="E52" t="s">
        <v>46</v>
      </c>
      <c r="F52" s="2">
        <v>2820</v>
      </c>
      <c r="G52" s="2">
        <v>3</v>
      </c>
      <c r="H52" s="2">
        <v>2</v>
      </c>
      <c r="I52" t="s">
        <v>40</v>
      </c>
      <c r="J52" t="s">
        <v>36</v>
      </c>
      <c r="K52" s="1">
        <v>45673</v>
      </c>
      <c r="L52" s="2" t="s">
        <v>443</v>
      </c>
      <c r="M52" t="s">
        <v>55</v>
      </c>
      <c r="N52">
        <v>45</v>
      </c>
    </row>
    <row r="53" spans="1:14" x14ac:dyDescent="0.3">
      <c r="A53" t="s">
        <v>137</v>
      </c>
      <c r="B53" t="s">
        <v>414</v>
      </c>
      <c r="C53" t="s">
        <v>56</v>
      </c>
      <c r="D53" t="s">
        <v>33</v>
      </c>
      <c r="E53" t="s">
        <v>34</v>
      </c>
      <c r="F53" s="2">
        <v>1550</v>
      </c>
      <c r="G53" s="2">
        <v>2</v>
      </c>
      <c r="H53" s="2">
        <v>3</v>
      </c>
      <c r="I53" t="s">
        <v>35</v>
      </c>
      <c r="J53" t="s">
        <v>36</v>
      </c>
      <c r="K53" s="1">
        <v>45740</v>
      </c>
      <c r="L53" s="2" t="s">
        <v>444</v>
      </c>
      <c r="M53" t="s">
        <v>47</v>
      </c>
      <c r="N53">
        <v>45</v>
      </c>
    </row>
    <row r="54" spans="1:14" x14ac:dyDescent="0.3">
      <c r="A54" t="s">
        <v>138</v>
      </c>
      <c r="B54" t="s">
        <v>415</v>
      </c>
      <c r="C54" t="s">
        <v>56</v>
      </c>
      <c r="D54" t="s">
        <v>52</v>
      </c>
      <c r="E54" t="s">
        <v>59</v>
      </c>
      <c r="F54" s="2">
        <v>1804</v>
      </c>
      <c r="G54" s="2">
        <v>2</v>
      </c>
      <c r="H54" s="2">
        <v>3</v>
      </c>
      <c r="I54" t="s">
        <v>51</v>
      </c>
      <c r="J54" t="s">
        <v>36</v>
      </c>
      <c r="K54" s="1">
        <v>45761</v>
      </c>
      <c r="L54" s="2" t="s">
        <v>445</v>
      </c>
      <c r="M54" t="s">
        <v>47</v>
      </c>
      <c r="N54">
        <v>48</v>
      </c>
    </row>
    <row r="55" spans="1:14" x14ac:dyDescent="0.3">
      <c r="A55" t="s">
        <v>139</v>
      </c>
      <c r="B55" t="s">
        <v>416</v>
      </c>
      <c r="C55" t="s">
        <v>56</v>
      </c>
      <c r="D55" t="s">
        <v>62</v>
      </c>
      <c r="E55" t="s">
        <v>49</v>
      </c>
      <c r="F55" s="2">
        <v>165</v>
      </c>
      <c r="G55" s="2">
        <v>1</v>
      </c>
      <c r="H55" s="2">
        <v>4</v>
      </c>
      <c r="I55" t="s">
        <v>51</v>
      </c>
      <c r="J55" t="s">
        <v>41</v>
      </c>
      <c r="K55" s="1">
        <v>45676</v>
      </c>
      <c r="L55" s="2" t="s">
        <v>446</v>
      </c>
      <c r="M55" t="s">
        <v>47</v>
      </c>
      <c r="N55">
        <v>49</v>
      </c>
    </row>
    <row r="56" spans="1:14" x14ac:dyDescent="0.3">
      <c r="A56" t="s">
        <v>140</v>
      </c>
      <c r="B56" t="s">
        <v>414</v>
      </c>
      <c r="C56" t="s">
        <v>44</v>
      </c>
      <c r="D56" t="s">
        <v>33</v>
      </c>
      <c r="E56" t="s">
        <v>59</v>
      </c>
      <c r="F56" s="2">
        <v>2470</v>
      </c>
      <c r="G56" s="2">
        <v>1</v>
      </c>
      <c r="H56" s="2">
        <v>3</v>
      </c>
      <c r="I56" t="s">
        <v>51</v>
      </c>
      <c r="J56" t="s">
        <v>36</v>
      </c>
      <c r="K56" s="1">
        <v>45841</v>
      </c>
      <c r="L56" s="2" t="s">
        <v>141</v>
      </c>
      <c r="M56" t="s">
        <v>55</v>
      </c>
      <c r="N56">
        <v>49</v>
      </c>
    </row>
    <row r="57" spans="1:14" x14ac:dyDescent="0.3">
      <c r="A57" t="s">
        <v>142</v>
      </c>
      <c r="B57" t="s">
        <v>37</v>
      </c>
      <c r="C57" t="s">
        <v>32</v>
      </c>
      <c r="D57" t="s">
        <v>39</v>
      </c>
      <c r="E57" t="s">
        <v>46</v>
      </c>
      <c r="F57" s="2">
        <v>2235</v>
      </c>
      <c r="G57" s="2">
        <v>1</v>
      </c>
      <c r="H57" s="2">
        <v>1</v>
      </c>
      <c r="I57" t="s">
        <v>61</v>
      </c>
      <c r="J57" t="s">
        <v>41</v>
      </c>
      <c r="K57" s="1">
        <v>45764</v>
      </c>
      <c r="L57" s="2" t="s">
        <v>143</v>
      </c>
      <c r="M57" t="s">
        <v>47</v>
      </c>
      <c r="N57">
        <v>49</v>
      </c>
    </row>
    <row r="58" spans="1:14" x14ac:dyDescent="0.3">
      <c r="A58" t="s">
        <v>144</v>
      </c>
      <c r="B58" t="s">
        <v>414</v>
      </c>
      <c r="C58" t="s">
        <v>50</v>
      </c>
      <c r="D58" t="s">
        <v>39</v>
      </c>
      <c r="E58" t="s">
        <v>46</v>
      </c>
      <c r="F58" s="2">
        <v>888</v>
      </c>
      <c r="G58" s="2">
        <v>3</v>
      </c>
      <c r="H58" s="2">
        <v>3</v>
      </c>
      <c r="I58" t="s">
        <v>51</v>
      </c>
      <c r="J58" t="s">
        <v>36</v>
      </c>
      <c r="K58" s="1">
        <v>45669</v>
      </c>
      <c r="L58" s="2" t="s">
        <v>447</v>
      </c>
      <c r="M58" t="s">
        <v>55</v>
      </c>
      <c r="N58">
        <v>49</v>
      </c>
    </row>
    <row r="59" spans="1:14" x14ac:dyDescent="0.3">
      <c r="A59" t="s">
        <v>145</v>
      </c>
      <c r="B59" t="s">
        <v>43</v>
      </c>
      <c r="C59" t="s">
        <v>44</v>
      </c>
      <c r="D59" t="s">
        <v>45</v>
      </c>
      <c r="E59" t="s">
        <v>57</v>
      </c>
      <c r="F59" s="2">
        <v>2562</v>
      </c>
      <c r="G59" s="2">
        <v>3</v>
      </c>
      <c r="H59" s="2">
        <v>3</v>
      </c>
      <c r="I59" t="s">
        <v>35</v>
      </c>
      <c r="J59" t="s">
        <v>36</v>
      </c>
      <c r="K59" s="1">
        <v>45717</v>
      </c>
      <c r="L59" s="2" t="s">
        <v>448</v>
      </c>
      <c r="M59" t="s">
        <v>47</v>
      </c>
      <c r="N59">
        <v>49</v>
      </c>
    </row>
    <row r="60" spans="1:14" x14ac:dyDescent="0.3">
      <c r="A60" t="s">
        <v>146</v>
      </c>
      <c r="B60" t="s">
        <v>63</v>
      </c>
      <c r="C60" t="s">
        <v>32</v>
      </c>
      <c r="D60" t="s">
        <v>45</v>
      </c>
      <c r="E60" t="s">
        <v>49</v>
      </c>
      <c r="F60" s="2">
        <v>1470</v>
      </c>
      <c r="G60" s="2">
        <v>4</v>
      </c>
      <c r="H60" s="2">
        <v>3</v>
      </c>
      <c r="I60" t="s">
        <v>35</v>
      </c>
      <c r="J60" t="s">
        <v>41</v>
      </c>
      <c r="K60" s="1">
        <v>45683</v>
      </c>
      <c r="L60" s="2" t="s">
        <v>147</v>
      </c>
      <c r="M60" t="s">
        <v>47</v>
      </c>
      <c r="N60">
        <v>49</v>
      </c>
    </row>
    <row r="61" spans="1:14" x14ac:dyDescent="0.3">
      <c r="A61" t="s">
        <v>148</v>
      </c>
      <c r="B61" t="s">
        <v>37</v>
      </c>
      <c r="C61" t="s">
        <v>32</v>
      </c>
      <c r="D61" t="s">
        <v>62</v>
      </c>
      <c r="E61" t="s">
        <v>57</v>
      </c>
      <c r="F61" s="2">
        <v>376</v>
      </c>
      <c r="G61" s="2">
        <v>3</v>
      </c>
      <c r="H61" s="2">
        <v>5</v>
      </c>
      <c r="I61" t="s">
        <v>61</v>
      </c>
      <c r="J61" t="s">
        <v>36</v>
      </c>
      <c r="K61" s="1">
        <v>45719</v>
      </c>
      <c r="L61" s="2" t="s">
        <v>149</v>
      </c>
      <c r="M61" t="s">
        <v>47</v>
      </c>
      <c r="N61">
        <v>49</v>
      </c>
    </row>
    <row r="62" spans="1:14" x14ac:dyDescent="0.3">
      <c r="A62" t="s">
        <v>150</v>
      </c>
      <c r="B62" t="s">
        <v>415</v>
      </c>
      <c r="C62" t="s">
        <v>32</v>
      </c>
      <c r="D62" t="s">
        <v>48</v>
      </c>
      <c r="E62" t="s">
        <v>46</v>
      </c>
      <c r="F62" s="2">
        <v>1949</v>
      </c>
      <c r="G62" s="2">
        <v>3</v>
      </c>
      <c r="H62" s="2">
        <v>2</v>
      </c>
      <c r="I62" t="s">
        <v>40</v>
      </c>
      <c r="J62" t="s">
        <v>36</v>
      </c>
      <c r="K62" s="1">
        <v>45763</v>
      </c>
      <c r="L62" s="2" t="s">
        <v>151</v>
      </c>
      <c r="M62" t="s">
        <v>55</v>
      </c>
      <c r="N62">
        <v>45</v>
      </c>
    </row>
    <row r="63" spans="1:14" x14ac:dyDescent="0.3">
      <c r="A63" t="s">
        <v>152</v>
      </c>
      <c r="B63" t="s">
        <v>414</v>
      </c>
      <c r="C63" t="s">
        <v>32</v>
      </c>
      <c r="D63" t="s">
        <v>39</v>
      </c>
      <c r="E63" t="s">
        <v>34</v>
      </c>
      <c r="F63" s="2">
        <v>775</v>
      </c>
      <c r="G63" s="2">
        <v>4</v>
      </c>
      <c r="H63" s="2">
        <v>1</v>
      </c>
      <c r="I63" t="s">
        <v>51</v>
      </c>
      <c r="J63" t="s">
        <v>36</v>
      </c>
      <c r="K63" s="1">
        <v>45931</v>
      </c>
      <c r="L63" s="2" t="s">
        <v>449</v>
      </c>
      <c r="M63" t="s">
        <v>55</v>
      </c>
      <c r="N63">
        <v>19</v>
      </c>
    </row>
    <row r="64" spans="1:14" x14ac:dyDescent="0.3">
      <c r="A64" t="s">
        <v>153</v>
      </c>
      <c r="B64" t="s">
        <v>43</v>
      </c>
      <c r="C64" t="s">
        <v>54</v>
      </c>
      <c r="D64" t="s">
        <v>62</v>
      </c>
      <c r="E64" t="s">
        <v>49</v>
      </c>
      <c r="F64" s="2">
        <v>1550</v>
      </c>
      <c r="G64" s="2">
        <v>3</v>
      </c>
      <c r="H64" s="2">
        <v>2</v>
      </c>
      <c r="I64" t="s">
        <v>35</v>
      </c>
      <c r="J64" t="s">
        <v>41</v>
      </c>
      <c r="K64" s="1">
        <v>45692</v>
      </c>
      <c r="L64" s="2" t="s">
        <v>450</v>
      </c>
      <c r="M64" t="s">
        <v>47</v>
      </c>
      <c r="N64">
        <v>45</v>
      </c>
    </row>
    <row r="65" spans="1:14" x14ac:dyDescent="0.3">
      <c r="A65" t="s">
        <v>154</v>
      </c>
      <c r="B65" t="s">
        <v>43</v>
      </c>
      <c r="C65" t="s">
        <v>56</v>
      </c>
      <c r="D65" t="s">
        <v>33</v>
      </c>
      <c r="E65" t="s">
        <v>34</v>
      </c>
      <c r="F65" s="2">
        <v>1503</v>
      </c>
      <c r="G65" s="2">
        <v>4</v>
      </c>
      <c r="H65" s="2">
        <v>4</v>
      </c>
      <c r="I65" t="s">
        <v>51</v>
      </c>
      <c r="J65" t="s">
        <v>36</v>
      </c>
      <c r="K65" s="1">
        <v>45699</v>
      </c>
      <c r="L65" s="2" t="s">
        <v>155</v>
      </c>
      <c r="M65" t="s">
        <v>55</v>
      </c>
      <c r="N65">
        <v>45</v>
      </c>
    </row>
    <row r="66" spans="1:14" x14ac:dyDescent="0.3">
      <c r="A66" t="s">
        <v>156</v>
      </c>
      <c r="B66" t="s">
        <v>58</v>
      </c>
      <c r="C66" t="s">
        <v>54</v>
      </c>
      <c r="D66" t="s">
        <v>45</v>
      </c>
      <c r="E66" t="s">
        <v>49</v>
      </c>
      <c r="F66" s="2">
        <v>427</v>
      </c>
      <c r="G66" s="2">
        <v>3</v>
      </c>
      <c r="H66" s="2">
        <v>3</v>
      </c>
      <c r="I66" t="s">
        <v>40</v>
      </c>
      <c r="J66" t="s">
        <v>36</v>
      </c>
      <c r="K66" s="1">
        <v>45714</v>
      </c>
      <c r="L66" s="2" t="s">
        <v>451</v>
      </c>
      <c r="M66" t="s">
        <v>55</v>
      </c>
      <c r="N66">
        <v>49</v>
      </c>
    </row>
    <row r="67" spans="1:14" x14ac:dyDescent="0.3">
      <c r="A67" t="s">
        <v>157</v>
      </c>
      <c r="B67" t="s">
        <v>63</v>
      </c>
      <c r="C67" t="s">
        <v>32</v>
      </c>
      <c r="D67" t="s">
        <v>62</v>
      </c>
      <c r="E67" t="s">
        <v>59</v>
      </c>
      <c r="F67" s="2">
        <v>2960</v>
      </c>
      <c r="G67" s="2">
        <v>2</v>
      </c>
      <c r="H67" s="2">
        <v>5</v>
      </c>
      <c r="I67" t="s">
        <v>40</v>
      </c>
      <c r="J67" t="s">
        <v>53</v>
      </c>
      <c r="K67" s="1">
        <v>45715</v>
      </c>
      <c r="L67" s="2" t="s">
        <v>452</v>
      </c>
      <c r="M67" t="s">
        <v>47</v>
      </c>
      <c r="N67">
        <v>56</v>
      </c>
    </row>
    <row r="68" spans="1:14" x14ac:dyDescent="0.3">
      <c r="A68" t="s">
        <v>158</v>
      </c>
      <c r="B68" t="s">
        <v>43</v>
      </c>
      <c r="C68" t="s">
        <v>56</v>
      </c>
      <c r="D68" t="s">
        <v>45</v>
      </c>
      <c r="E68" t="s">
        <v>57</v>
      </c>
      <c r="F68" s="2">
        <v>1550</v>
      </c>
      <c r="G68" s="2">
        <v>3</v>
      </c>
      <c r="H68" s="2">
        <v>3</v>
      </c>
      <c r="I68" t="s">
        <v>35</v>
      </c>
      <c r="J68" t="s">
        <v>36</v>
      </c>
      <c r="K68" s="1">
        <v>45742</v>
      </c>
      <c r="L68" s="2" t="s">
        <v>159</v>
      </c>
      <c r="M68" t="s">
        <v>47</v>
      </c>
      <c r="N68">
        <v>70</v>
      </c>
    </row>
    <row r="69" spans="1:14" x14ac:dyDescent="0.3">
      <c r="A69" t="s">
        <v>160</v>
      </c>
      <c r="B69" t="s">
        <v>63</v>
      </c>
      <c r="C69" t="s">
        <v>54</v>
      </c>
      <c r="D69" t="s">
        <v>45</v>
      </c>
      <c r="E69" t="s">
        <v>49</v>
      </c>
      <c r="F69" s="2">
        <v>2668</v>
      </c>
      <c r="G69" s="2">
        <v>2</v>
      </c>
      <c r="H69" s="2">
        <v>4</v>
      </c>
      <c r="I69" t="s">
        <v>51</v>
      </c>
      <c r="J69" t="s">
        <v>36</v>
      </c>
      <c r="K69" s="1">
        <v>45696</v>
      </c>
      <c r="L69" s="2" t="s">
        <v>161</v>
      </c>
      <c r="M69" t="s">
        <v>55</v>
      </c>
      <c r="N69">
        <v>49</v>
      </c>
    </row>
    <row r="70" spans="1:14" x14ac:dyDescent="0.3">
      <c r="A70" t="s">
        <v>162</v>
      </c>
      <c r="B70" t="s">
        <v>414</v>
      </c>
      <c r="C70" t="s">
        <v>44</v>
      </c>
      <c r="D70" t="s">
        <v>33</v>
      </c>
      <c r="E70" t="s">
        <v>34</v>
      </c>
      <c r="F70" s="2">
        <v>2954</v>
      </c>
      <c r="G70" s="2">
        <v>2</v>
      </c>
      <c r="H70" s="2">
        <v>3</v>
      </c>
      <c r="I70" t="s">
        <v>51</v>
      </c>
      <c r="J70" t="s">
        <v>41</v>
      </c>
      <c r="K70" s="1">
        <v>45932</v>
      </c>
      <c r="L70" s="2" t="s">
        <v>453</v>
      </c>
      <c r="M70" t="s">
        <v>47</v>
      </c>
      <c r="N70">
        <v>49</v>
      </c>
    </row>
    <row r="71" spans="1:14" x14ac:dyDescent="0.3">
      <c r="A71" t="s">
        <v>163</v>
      </c>
      <c r="B71" t="s">
        <v>43</v>
      </c>
      <c r="C71" t="s">
        <v>32</v>
      </c>
      <c r="D71" t="s">
        <v>33</v>
      </c>
      <c r="E71" t="s">
        <v>34</v>
      </c>
      <c r="F71" s="2">
        <v>1550</v>
      </c>
      <c r="G71" s="2">
        <v>3</v>
      </c>
      <c r="H71" s="2">
        <v>3</v>
      </c>
      <c r="I71" t="s">
        <v>51</v>
      </c>
      <c r="J71" t="s">
        <v>36</v>
      </c>
      <c r="K71" s="1">
        <v>45745</v>
      </c>
      <c r="L71" s="2" t="s">
        <v>454</v>
      </c>
      <c r="M71" t="s">
        <v>47</v>
      </c>
      <c r="N71">
        <v>49</v>
      </c>
    </row>
    <row r="72" spans="1:14" x14ac:dyDescent="0.3">
      <c r="A72" t="s">
        <v>164</v>
      </c>
      <c r="B72" t="s">
        <v>37</v>
      </c>
      <c r="C72" t="s">
        <v>44</v>
      </c>
      <c r="D72" t="s">
        <v>45</v>
      </c>
      <c r="E72" t="s">
        <v>49</v>
      </c>
      <c r="F72" s="2">
        <v>2993</v>
      </c>
      <c r="G72" s="2">
        <v>4</v>
      </c>
      <c r="H72" s="2">
        <v>3</v>
      </c>
      <c r="I72" t="s">
        <v>40</v>
      </c>
      <c r="J72" t="s">
        <v>36</v>
      </c>
      <c r="K72" s="1">
        <v>45674</v>
      </c>
      <c r="L72" s="2" t="s">
        <v>455</v>
      </c>
      <c r="M72" t="s">
        <v>55</v>
      </c>
      <c r="N72">
        <v>45</v>
      </c>
    </row>
    <row r="73" spans="1:14" x14ac:dyDescent="0.3">
      <c r="A73" t="s">
        <v>165</v>
      </c>
      <c r="B73" t="s">
        <v>43</v>
      </c>
      <c r="C73" t="s">
        <v>54</v>
      </c>
      <c r="D73" t="s">
        <v>62</v>
      </c>
      <c r="E73" t="s">
        <v>59</v>
      </c>
      <c r="F73" s="2">
        <v>1672</v>
      </c>
      <c r="G73" s="2">
        <v>1</v>
      </c>
      <c r="H73" s="2">
        <v>3</v>
      </c>
      <c r="I73" t="s">
        <v>40</v>
      </c>
      <c r="J73" t="s">
        <v>36</v>
      </c>
      <c r="K73" s="1">
        <v>45692</v>
      </c>
      <c r="L73" s="2" t="s">
        <v>166</v>
      </c>
      <c r="M73" t="s">
        <v>47</v>
      </c>
      <c r="N73">
        <v>49</v>
      </c>
    </row>
    <row r="74" spans="1:14" x14ac:dyDescent="0.3">
      <c r="A74" t="s">
        <v>167</v>
      </c>
      <c r="B74" t="s">
        <v>414</v>
      </c>
      <c r="C74" t="s">
        <v>56</v>
      </c>
      <c r="D74" t="s">
        <v>52</v>
      </c>
      <c r="E74" t="s">
        <v>59</v>
      </c>
      <c r="F74" s="2">
        <v>768</v>
      </c>
      <c r="G74" s="2">
        <v>2</v>
      </c>
      <c r="H74" s="2">
        <v>3</v>
      </c>
      <c r="I74" t="s">
        <v>40</v>
      </c>
      <c r="J74" t="s">
        <v>41</v>
      </c>
      <c r="K74" s="1">
        <v>45665</v>
      </c>
      <c r="L74" s="2" t="s">
        <v>168</v>
      </c>
      <c r="M74" t="s">
        <v>47</v>
      </c>
      <c r="N74">
        <v>49</v>
      </c>
    </row>
    <row r="75" spans="1:14" x14ac:dyDescent="0.3">
      <c r="A75" t="s">
        <v>169</v>
      </c>
      <c r="B75" t="s">
        <v>414</v>
      </c>
      <c r="C75" t="s">
        <v>54</v>
      </c>
      <c r="D75" t="s">
        <v>45</v>
      </c>
      <c r="E75" t="s">
        <v>49</v>
      </c>
      <c r="F75" s="2">
        <v>1018</v>
      </c>
      <c r="G75" s="2">
        <v>3</v>
      </c>
      <c r="H75" s="2">
        <v>3</v>
      </c>
      <c r="I75" t="s">
        <v>40</v>
      </c>
      <c r="J75" t="s">
        <v>53</v>
      </c>
      <c r="K75" s="1">
        <v>45741</v>
      </c>
      <c r="L75" s="2" t="s">
        <v>170</v>
      </c>
      <c r="M75" t="s">
        <v>55</v>
      </c>
      <c r="N75">
        <v>36</v>
      </c>
    </row>
    <row r="76" spans="1:14" x14ac:dyDescent="0.3">
      <c r="A76" t="s">
        <v>171</v>
      </c>
      <c r="B76" t="s">
        <v>416</v>
      </c>
      <c r="C76" t="s">
        <v>56</v>
      </c>
      <c r="D76" t="s">
        <v>45</v>
      </c>
      <c r="E76" t="s">
        <v>49</v>
      </c>
      <c r="F76" s="2">
        <v>1550</v>
      </c>
      <c r="G76" s="2">
        <v>3</v>
      </c>
      <c r="H76" s="2">
        <v>5</v>
      </c>
      <c r="I76" t="s">
        <v>51</v>
      </c>
      <c r="J76" t="s">
        <v>41</v>
      </c>
      <c r="K76" s="1">
        <v>45746</v>
      </c>
      <c r="L76" s="2" t="s">
        <v>172</v>
      </c>
      <c r="M76" t="s">
        <v>47</v>
      </c>
      <c r="N76">
        <v>45</v>
      </c>
    </row>
    <row r="77" spans="1:14" x14ac:dyDescent="0.3">
      <c r="A77" t="s">
        <v>173</v>
      </c>
      <c r="B77" t="s">
        <v>58</v>
      </c>
      <c r="C77" t="s">
        <v>54</v>
      </c>
      <c r="D77" t="s">
        <v>62</v>
      </c>
      <c r="E77" t="s">
        <v>59</v>
      </c>
      <c r="F77" s="2">
        <v>1962</v>
      </c>
      <c r="G77" s="2">
        <v>5</v>
      </c>
      <c r="H77" s="2">
        <v>3</v>
      </c>
      <c r="I77" t="s">
        <v>35</v>
      </c>
      <c r="J77" t="s">
        <v>53</v>
      </c>
      <c r="K77" s="1">
        <v>45731</v>
      </c>
      <c r="L77" s="2" t="s">
        <v>456</v>
      </c>
      <c r="M77" t="s">
        <v>55</v>
      </c>
      <c r="N77">
        <v>49</v>
      </c>
    </row>
    <row r="78" spans="1:14" x14ac:dyDescent="0.3">
      <c r="A78" t="s">
        <v>174</v>
      </c>
      <c r="B78" t="s">
        <v>58</v>
      </c>
      <c r="C78" t="s">
        <v>50</v>
      </c>
      <c r="D78" t="s">
        <v>39</v>
      </c>
      <c r="E78" t="s">
        <v>57</v>
      </c>
      <c r="F78" s="2">
        <v>1550</v>
      </c>
      <c r="G78" s="2">
        <v>3</v>
      </c>
      <c r="H78" s="2">
        <v>3</v>
      </c>
      <c r="I78" t="s">
        <v>61</v>
      </c>
      <c r="J78" t="s">
        <v>53</v>
      </c>
      <c r="K78" s="1">
        <v>45764</v>
      </c>
      <c r="L78" s="2" t="s">
        <v>457</v>
      </c>
      <c r="M78" t="s">
        <v>55</v>
      </c>
      <c r="N78">
        <v>49</v>
      </c>
    </row>
    <row r="79" spans="1:14" x14ac:dyDescent="0.3">
      <c r="A79" t="s">
        <v>175</v>
      </c>
      <c r="B79" t="s">
        <v>63</v>
      </c>
      <c r="C79" t="s">
        <v>38</v>
      </c>
      <c r="D79" t="s">
        <v>39</v>
      </c>
      <c r="E79" t="s">
        <v>57</v>
      </c>
      <c r="F79" s="2">
        <v>1550</v>
      </c>
      <c r="G79" s="2">
        <v>3</v>
      </c>
      <c r="H79" s="2">
        <v>2</v>
      </c>
      <c r="I79" t="s">
        <v>61</v>
      </c>
      <c r="J79" t="s">
        <v>36</v>
      </c>
      <c r="K79" s="1">
        <v>45671</v>
      </c>
      <c r="L79" s="2" t="s">
        <v>458</v>
      </c>
      <c r="M79" t="s">
        <v>47</v>
      </c>
      <c r="N79">
        <v>49</v>
      </c>
    </row>
    <row r="80" spans="1:14" x14ac:dyDescent="0.3">
      <c r="A80" t="s">
        <v>176</v>
      </c>
      <c r="B80" t="s">
        <v>58</v>
      </c>
      <c r="C80" t="s">
        <v>44</v>
      </c>
      <c r="D80" t="s">
        <v>39</v>
      </c>
      <c r="E80" t="s">
        <v>57</v>
      </c>
      <c r="F80" s="2">
        <v>1780</v>
      </c>
      <c r="G80" s="2">
        <v>2</v>
      </c>
      <c r="H80" s="2">
        <v>3</v>
      </c>
      <c r="I80" t="s">
        <v>35</v>
      </c>
      <c r="J80" t="s">
        <v>41</v>
      </c>
      <c r="K80" s="1">
        <v>45731</v>
      </c>
      <c r="L80" s="2" t="s">
        <v>459</v>
      </c>
      <c r="M80" t="s">
        <v>55</v>
      </c>
      <c r="N80">
        <v>49</v>
      </c>
    </row>
    <row r="81" spans="1:14" x14ac:dyDescent="0.3">
      <c r="A81" t="s">
        <v>177</v>
      </c>
      <c r="B81" t="s">
        <v>58</v>
      </c>
      <c r="C81" t="s">
        <v>56</v>
      </c>
      <c r="D81" t="s">
        <v>39</v>
      </c>
      <c r="E81" t="s">
        <v>46</v>
      </c>
      <c r="F81" s="2">
        <v>2643</v>
      </c>
      <c r="G81" s="2">
        <v>1</v>
      </c>
      <c r="H81" s="2">
        <v>3</v>
      </c>
      <c r="I81" t="s">
        <v>40</v>
      </c>
      <c r="J81" t="s">
        <v>36</v>
      </c>
      <c r="K81" s="1">
        <v>45743</v>
      </c>
      <c r="L81" s="2" t="s">
        <v>178</v>
      </c>
      <c r="M81" t="s">
        <v>47</v>
      </c>
      <c r="N81">
        <v>49</v>
      </c>
    </row>
    <row r="82" spans="1:14" x14ac:dyDescent="0.3">
      <c r="A82" t="s">
        <v>179</v>
      </c>
      <c r="B82" t="s">
        <v>415</v>
      </c>
      <c r="C82" t="s">
        <v>38</v>
      </c>
      <c r="D82" t="s">
        <v>48</v>
      </c>
      <c r="E82" t="s">
        <v>34</v>
      </c>
      <c r="F82" s="2">
        <v>1550</v>
      </c>
      <c r="G82" s="2">
        <v>2</v>
      </c>
      <c r="H82" s="2">
        <v>5</v>
      </c>
      <c r="I82" t="s">
        <v>51</v>
      </c>
      <c r="J82" t="s">
        <v>36</v>
      </c>
      <c r="K82" s="1">
        <v>45747</v>
      </c>
      <c r="L82" s="2" t="s">
        <v>460</v>
      </c>
      <c r="M82" t="s">
        <v>47</v>
      </c>
      <c r="N82">
        <v>49</v>
      </c>
    </row>
    <row r="83" spans="1:14" x14ac:dyDescent="0.3">
      <c r="A83" t="s">
        <v>180</v>
      </c>
      <c r="B83" t="s">
        <v>58</v>
      </c>
      <c r="C83" t="s">
        <v>38</v>
      </c>
      <c r="D83" t="s">
        <v>33</v>
      </c>
      <c r="E83" t="s">
        <v>34</v>
      </c>
      <c r="F83" s="2">
        <v>378</v>
      </c>
      <c r="G83" s="2">
        <v>4</v>
      </c>
      <c r="H83" s="2">
        <v>5</v>
      </c>
      <c r="I83" t="s">
        <v>51</v>
      </c>
      <c r="J83" t="s">
        <v>36</v>
      </c>
      <c r="K83" s="1">
        <v>45665</v>
      </c>
      <c r="L83" s="2" t="s">
        <v>181</v>
      </c>
      <c r="M83" t="s">
        <v>47</v>
      </c>
      <c r="N83">
        <v>49</v>
      </c>
    </row>
    <row r="84" spans="1:14" x14ac:dyDescent="0.3">
      <c r="A84" t="s">
        <v>182</v>
      </c>
      <c r="B84" t="s">
        <v>58</v>
      </c>
      <c r="C84" t="s">
        <v>32</v>
      </c>
      <c r="D84" t="s">
        <v>52</v>
      </c>
      <c r="E84" t="s">
        <v>46</v>
      </c>
      <c r="F84" s="2">
        <v>1550</v>
      </c>
      <c r="G84" s="2">
        <v>1</v>
      </c>
      <c r="H84" s="2">
        <v>5</v>
      </c>
      <c r="I84" t="s">
        <v>61</v>
      </c>
      <c r="J84" t="s">
        <v>53</v>
      </c>
      <c r="K84" s="1">
        <v>45742</v>
      </c>
      <c r="L84" s="2" t="s">
        <v>183</v>
      </c>
      <c r="M84" t="s">
        <v>47</v>
      </c>
      <c r="N84">
        <v>49</v>
      </c>
    </row>
    <row r="85" spans="1:14" x14ac:dyDescent="0.3">
      <c r="A85" t="s">
        <v>184</v>
      </c>
      <c r="B85" t="s">
        <v>416</v>
      </c>
      <c r="C85" t="s">
        <v>50</v>
      </c>
      <c r="D85" t="s">
        <v>62</v>
      </c>
      <c r="E85" t="s">
        <v>34</v>
      </c>
      <c r="F85" s="2">
        <v>714</v>
      </c>
      <c r="G85" s="2">
        <v>4</v>
      </c>
      <c r="H85" s="2">
        <v>5</v>
      </c>
      <c r="I85" t="s">
        <v>61</v>
      </c>
      <c r="J85" t="s">
        <v>41</v>
      </c>
      <c r="K85" s="1">
        <v>45706</v>
      </c>
      <c r="L85" s="2" t="s">
        <v>185</v>
      </c>
      <c r="M85" t="s">
        <v>47</v>
      </c>
      <c r="N85">
        <v>49</v>
      </c>
    </row>
    <row r="86" spans="1:14" x14ac:dyDescent="0.3">
      <c r="A86" t="s">
        <v>186</v>
      </c>
      <c r="B86" t="s">
        <v>414</v>
      </c>
      <c r="C86" t="s">
        <v>54</v>
      </c>
      <c r="D86" t="s">
        <v>62</v>
      </c>
      <c r="E86" t="s">
        <v>46</v>
      </c>
      <c r="F86" s="2">
        <v>1550</v>
      </c>
      <c r="G86" s="2">
        <v>2</v>
      </c>
      <c r="H86" s="2">
        <v>5</v>
      </c>
      <c r="I86" t="s">
        <v>40</v>
      </c>
      <c r="J86" t="s">
        <v>36</v>
      </c>
      <c r="K86" s="1">
        <v>45695</v>
      </c>
      <c r="L86" s="2" t="s">
        <v>461</v>
      </c>
      <c r="M86" t="s">
        <v>55</v>
      </c>
      <c r="N86">
        <v>55</v>
      </c>
    </row>
    <row r="87" spans="1:14" x14ac:dyDescent="0.3">
      <c r="A87" t="s">
        <v>187</v>
      </c>
      <c r="B87" t="s">
        <v>58</v>
      </c>
      <c r="C87" t="s">
        <v>50</v>
      </c>
      <c r="D87" t="s">
        <v>39</v>
      </c>
      <c r="E87" t="s">
        <v>57</v>
      </c>
      <c r="F87" s="2">
        <v>2829</v>
      </c>
      <c r="G87" s="2">
        <v>2</v>
      </c>
      <c r="H87" s="2">
        <v>4</v>
      </c>
      <c r="I87" t="s">
        <v>40</v>
      </c>
      <c r="J87" t="s">
        <v>36</v>
      </c>
      <c r="K87" s="1">
        <v>45734</v>
      </c>
      <c r="L87" s="2" t="s">
        <v>188</v>
      </c>
      <c r="M87" t="s">
        <v>55</v>
      </c>
      <c r="N87">
        <v>49</v>
      </c>
    </row>
    <row r="88" spans="1:14" x14ac:dyDescent="0.3">
      <c r="A88" t="s">
        <v>189</v>
      </c>
      <c r="B88" t="s">
        <v>58</v>
      </c>
      <c r="C88" t="s">
        <v>44</v>
      </c>
      <c r="D88" t="s">
        <v>45</v>
      </c>
      <c r="E88" t="s">
        <v>59</v>
      </c>
      <c r="F88" s="2">
        <v>2548</v>
      </c>
      <c r="G88" s="2">
        <v>3</v>
      </c>
      <c r="H88" s="2">
        <v>5</v>
      </c>
      <c r="I88" t="s">
        <v>35</v>
      </c>
      <c r="J88" t="s">
        <v>41</v>
      </c>
      <c r="K88" s="1">
        <v>45672</v>
      </c>
      <c r="L88" s="2" t="s">
        <v>462</v>
      </c>
      <c r="M88" t="s">
        <v>55</v>
      </c>
      <c r="N88">
        <v>45</v>
      </c>
    </row>
    <row r="89" spans="1:14" x14ac:dyDescent="0.3">
      <c r="A89" t="s">
        <v>190</v>
      </c>
      <c r="B89" t="s">
        <v>415</v>
      </c>
      <c r="C89" t="s">
        <v>50</v>
      </c>
      <c r="D89" t="s">
        <v>33</v>
      </c>
      <c r="E89" t="s">
        <v>57</v>
      </c>
      <c r="F89" s="2">
        <v>2954</v>
      </c>
      <c r="G89" s="2">
        <v>3</v>
      </c>
      <c r="H89" s="2">
        <v>3</v>
      </c>
      <c r="I89" t="s">
        <v>51</v>
      </c>
      <c r="J89" t="s">
        <v>41</v>
      </c>
      <c r="K89" s="1">
        <v>45688</v>
      </c>
      <c r="L89" s="2" t="s">
        <v>463</v>
      </c>
      <c r="M89" t="s">
        <v>55</v>
      </c>
      <c r="N89">
        <v>49</v>
      </c>
    </row>
    <row r="90" spans="1:14" x14ac:dyDescent="0.3">
      <c r="A90" t="s">
        <v>191</v>
      </c>
      <c r="B90" t="s">
        <v>415</v>
      </c>
      <c r="C90" t="s">
        <v>32</v>
      </c>
      <c r="D90" t="s">
        <v>52</v>
      </c>
      <c r="E90" t="s">
        <v>34</v>
      </c>
      <c r="F90" s="2">
        <v>199</v>
      </c>
      <c r="G90" s="2">
        <v>1</v>
      </c>
      <c r="H90" s="2">
        <v>5</v>
      </c>
      <c r="I90" t="s">
        <v>35</v>
      </c>
      <c r="J90" t="s">
        <v>36</v>
      </c>
      <c r="K90" s="1">
        <v>45741</v>
      </c>
      <c r="L90" s="2" t="s">
        <v>192</v>
      </c>
      <c r="M90" t="s">
        <v>47</v>
      </c>
      <c r="N90">
        <v>49</v>
      </c>
    </row>
    <row r="91" spans="1:14" x14ac:dyDescent="0.3">
      <c r="A91" t="s">
        <v>193</v>
      </c>
      <c r="B91" t="s">
        <v>43</v>
      </c>
      <c r="C91" t="s">
        <v>32</v>
      </c>
      <c r="D91" t="s">
        <v>33</v>
      </c>
      <c r="E91" t="s">
        <v>46</v>
      </c>
      <c r="F91" s="2">
        <v>1550</v>
      </c>
      <c r="G91" s="2">
        <v>4</v>
      </c>
      <c r="H91" s="2">
        <v>5</v>
      </c>
      <c r="I91" t="s">
        <v>61</v>
      </c>
      <c r="J91" t="s">
        <v>36</v>
      </c>
      <c r="K91" s="1">
        <v>45723</v>
      </c>
      <c r="L91" s="2" t="s">
        <v>464</v>
      </c>
      <c r="M91" t="s">
        <v>47</v>
      </c>
      <c r="N91">
        <v>49</v>
      </c>
    </row>
    <row r="92" spans="1:14" x14ac:dyDescent="0.3">
      <c r="A92" t="s">
        <v>194</v>
      </c>
      <c r="B92" t="s">
        <v>414</v>
      </c>
      <c r="C92" t="s">
        <v>56</v>
      </c>
      <c r="D92" t="s">
        <v>52</v>
      </c>
      <c r="E92" t="s">
        <v>59</v>
      </c>
      <c r="F92" s="2">
        <v>1550</v>
      </c>
      <c r="G92" s="2">
        <v>3</v>
      </c>
      <c r="H92" s="2">
        <v>3</v>
      </c>
      <c r="I92" t="s">
        <v>40</v>
      </c>
      <c r="J92" t="s">
        <v>41</v>
      </c>
      <c r="K92" s="1">
        <v>45769</v>
      </c>
      <c r="L92" s="2" t="s">
        <v>195</v>
      </c>
      <c r="M92" t="s">
        <v>55</v>
      </c>
      <c r="N92">
        <v>49</v>
      </c>
    </row>
    <row r="93" spans="1:14" x14ac:dyDescent="0.3">
      <c r="A93" t="s">
        <v>196</v>
      </c>
      <c r="B93" t="s">
        <v>63</v>
      </c>
      <c r="C93" t="s">
        <v>32</v>
      </c>
      <c r="D93" t="s">
        <v>45</v>
      </c>
      <c r="E93" t="s">
        <v>46</v>
      </c>
      <c r="F93" s="2">
        <v>1714</v>
      </c>
      <c r="G93" s="2">
        <v>3</v>
      </c>
      <c r="H93" s="2">
        <v>3</v>
      </c>
      <c r="I93" t="s">
        <v>51</v>
      </c>
      <c r="J93" t="s">
        <v>41</v>
      </c>
      <c r="K93" s="1">
        <v>45689</v>
      </c>
      <c r="L93" s="2" t="s">
        <v>465</v>
      </c>
      <c r="M93" t="s">
        <v>55</v>
      </c>
      <c r="N93">
        <v>49</v>
      </c>
    </row>
    <row r="94" spans="1:14" x14ac:dyDescent="0.3">
      <c r="A94" t="s">
        <v>197</v>
      </c>
      <c r="B94" t="s">
        <v>63</v>
      </c>
      <c r="C94" t="s">
        <v>32</v>
      </c>
      <c r="D94" t="s">
        <v>52</v>
      </c>
      <c r="E94" t="s">
        <v>46</v>
      </c>
      <c r="F94" s="2">
        <v>2712</v>
      </c>
      <c r="G94" s="2">
        <v>2</v>
      </c>
      <c r="H94" s="2">
        <v>5</v>
      </c>
      <c r="I94" t="s">
        <v>51</v>
      </c>
      <c r="J94" t="s">
        <v>36</v>
      </c>
      <c r="K94" s="1">
        <v>45660</v>
      </c>
      <c r="L94" s="2" t="s">
        <v>198</v>
      </c>
      <c r="M94" t="s">
        <v>55</v>
      </c>
      <c r="N94">
        <v>45</v>
      </c>
    </row>
    <row r="95" spans="1:14" x14ac:dyDescent="0.3">
      <c r="A95" t="s">
        <v>199</v>
      </c>
      <c r="B95" t="s">
        <v>37</v>
      </c>
      <c r="C95" t="s">
        <v>38</v>
      </c>
      <c r="D95" t="s">
        <v>45</v>
      </c>
      <c r="E95" t="s">
        <v>59</v>
      </c>
      <c r="F95" s="2">
        <v>1940</v>
      </c>
      <c r="G95" s="2">
        <v>3</v>
      </c>
      <c r="H95" s="2">
        <v>5</v>
      </c>
      <c r="I95" t="s">
        <v>35</v>
      </c>
      <c r="J95" t="s">
        <v>36</v>
      </c>
      <c r="K95" s="1">
        <v>45764</v>
      </c>
      <c r="L95" s="2" t="s">
        <v>466</v>
      </c>
      <c r="M95" t="s">
        <v>47</v>
      </c>
      <c r="N95">
        <v>49</v>
      </c>
    </row>
    <row r="96" spans="1:14" x14ac:dyDescent="0.3">
      <c r="A96" t="s">
        <v>200</v>
      </c>
      <c r="B96" t="s">
        <v>416</v>
      </c>
      <c r="C96" t="s">
        <v>38</v>
      </c>
      <c r="D96" t="s">
        <v>39</v>
      </c>
      <c r="E96" t="s">
        <v>57</v>
      </c>
      <c r="F96" s="2">
        <v>1456</v>
      </c>
      <c r="G96" s="2">
        <v>3</v>
      </c>
      <c r="H96" s="2">
        <v>2</v>
      </c>
      <c r="I96" t="s">
        <v>35</v>
      </c>
      <c r="J96" t="s">
        <v>41</v>
      </c>
      <c r="K96" s="1">
        <v>45778</v>
      </c>
      <c r="L96" s="2" t="s">
        <v>201</v>
      </c>
      <c r="M96" t="s">
        <v>55</v>
      </c>
      <c r="N96">
        <v>48</v>
      </c>
    </row>
    <row r="97" spans="1:14" x14ac:dyDescent="0.3">
      <c r="A97" t="s">
        <v>202</v>
      </c>
      <c r="B97" t="s">
        <v>43</v>
      </c>
      <c r="C97" t="s">
        <v>38</v>
      </c>
      <c r="D97" t="s">
        <v>39</v>
      </c>
      <c r="E97" t="s">
        <v>46</v>
      </c>
      <c r="F97" s="2">
        <v>1102</v>
      </c>
      <c r="G97" s="2">
        <v>4</v>
      </c>
      <c r="H97" s="2">
        <v>4</v>
      </c>
      <c r="I97" t="s">
        <v>51</v>
      </c>
      <c r="J97" t="s">
        <v>41</v>
      </c>
      <c r="K97" s="1">
        <v>45663</v>
      </c>
      <c r="L97" s="2" t="s">
        <v>467</v>
      </c>
      <c r="M97" t="s">
        <v>47</v>
      </c>
      <c r="N97">
        <v>49</v>
      </c>
    </row>
    <row r="98" spans="1:14" x14ac:dyDescent="0.3">
      <c r="A98" t="s">
        <v>203</v>
      </c>
      <c r="B98" t="s">
        <v>43</v>
      </c>
      <c r="C98" t="s">
        <v>56</v>
      </c>
      <c r="D98" t="s">
        <v>52</v>
      </c>
      <c r="E98" t="s">
        <v>49</v>
      </c>
      <c r="F98" s="2">
        <v>1550</v>
      </c>
      <c r="G98" s="2">
        <v>2</v>
      </c>
      <c r="H98" s="2">
        <v>1</v>
      </c>
      <c r="I98" t="s">
        <v>61</v>
      </c>
      <c r="J98" t="s">
        <v>41</v>
      </c>
      <c r="K98" s="1">
        <v>45667</v>
      </c>
      <c r="L98" s="2" t="s">
        <v>204</v>
      </c>
      <c r="M98" t="s">
        <v>55</v>
      </c>
      <c r="N98">
        <v>40</v>
      </c>
    </row>
    <row r="99" spans="1:14" x14ac:dyDescent="0.3">
      <c r="A99" t="s">
        <v>205</v>
      </c>
      <c r="B99" t="s">
        <v>63</v>
      </c>
      <c r="C99" t="s">
        <v>54</v>
      </c>
      <c r="D99" t="s">
        <v>45</v>
      </c>
      <c r="E99" t="s">
        <v>46</v>
      </c>
      <c r="F99" s="2">
        <v>1327</v>
      </c>
      <c r="G99" s="2">
        <v>4</v>
      </c>
      <c r="H99" s="2">
        <v>5</v>
      </c>
      <c r="I99" t="s">
        <v>61</v>
      </c>
      <c r="J99" t="s">
        <v>41</v>
      </c>
      <c r="K99" s="1">
        <v>45729</v>
      </c>
      <c r="L99" s="2" t="s">
        <v>468</v>
      </c>
      <c r="M99" t="s">
        <v>55</v>
      </c>
      <c r="N99">
        <v>49</v>
      </c>
    </row>
    <row r="100" spans="1:14" x14ac:dyDescent="0.3">
      <c r="A100" t="s">
        <v>206</v>
      </c>
      <c r="B100" t="s">
        <v>37</v>
      </c>
      <c r="C100" t="s">
        <v>32</v>
      </c>
      <c r="D100" t="s">
        <v>33</v>
      </c>
      <c r="E100" t="s">
        <v>59</v>
      </c>
      <c r="F100" s="2">
        <v>2007</v>
      </c>
      <c r="G100" s="2">
        <v>2</v>
      </c>
      <c r="H100" s="2">
        <v>2</v>
      </c>
      <c r="I100" t="s">
        <v>40</v>
      </c>
      <c r="J100" t="s">
        <v>41</v>
      </c>
      <c r="K100" s="1">
        <v>45731</v>
      </c>
      <c r="L100" s="2" t="s">
        <v>207</v>
      </c>
      <c r="M100" t="s">
        <v>55</v>
      </c>
      <c r="N100">
        <v>49</v>
      </c>
    </row>
    <row r="101" spans="1:14" x14ac:dyDescent="0.3">
      <c r="A101" t="s">
        <v>208</v>
      </c>
      <c r="B101" t="s">
        <v>43</v>
      </c>
      <c r="C101" t="s">
        <v>50</v>
      </c>
      <c r="D101" t="s">
        <v>62</v>
      </c>
      <c r="E101" t="s">
        <v>59</v>
      </c>
      <c r="F101" s="2">
        <v>240</v>
      </c>
      <c r="G101" s="2">
        <v>3</v>
      </c>
      <c r="H101" s="2">
        <v>3</v>
      </c>
      <c r="I101" t="s">
        <v>40</v>
      </c>
      <c r="J101" t="s">
        <v>36</v>
      </c>
      <c r="K101" s="1">
        <v>45659</v>
      </c>
      <c r="L101" s="2" t="s">
        <v>209</v>
      </c>
      <c r="M101" t="s">
        <v>47</v>
      </c>
      <c r="N101">
        <v>49</v>
      </c>
    </row>
    <row r="102" spans="1:14" x14ac:dyDescent="0.3">
      <c r="A102" t="s">
        <v>210</v>
      </c>
      <c r="B102" t="s">
        <v>416</v>
      </c>
      <c r="C102" t="s">
        <v>50</v>
      </c>
      <c r="D102" t="s">
        <v>45</v>
      </c>
      <c r="E102" t="s">
        <v>34</v>
      </c>
      <c r="F102" s="2">
        <v>2808</v>
      </c>
      <c r="G102" s="2">
        <v>3</v>
      </c>
      <c r="H102" s="2">
        <v>1</v>
      </c>
      <c r="I102" t="s">
        <v>40</v>
      </c>
      <c r="J102" t="s">
        <v>41</v>
      </c>
      <c r="K102" s="1">
        <v>45659</v>
      </c>
      <c r="L102" s="2" t="s">
        <v>469</v>
      </c>
      <c r="M102" t="s">
        <v>55</v>
      </c>
      <c r="N102">
        <v>56</v>
      </c>
    </row>
    <row r="103" spans="1:14" x14ac:dyDescent="0.3">
      <c r="A103" t="s">
        <v>211</v>
      </c>
      <c r="B103" t="s">
        <v>58</v>
      </c>
      <c r="C103" t="s">
        <v>50</v>
      </c>
      <c r="D103" t="s">
        <v>45</v>
      </c>
      <c r="E103" t="s">
        <v>46</v>
      </c>
      <c r="F103" s="2">
        <v>495</v>
      </c>
      <c r="G103" s="2">
        <v>5</v>
      </c>
      <c r="H103" s="2">
        <v>2</v>
      </c>
      <c r="I103" t="s">
        <v>61</v>
      </c>
      <c r="J103" t="s">
        <v>36</v>
      </c>
      <c r="K103" s="1">
        <v>45740</v>
      </c>
      <c r="L103" s="2" t="s">
        <v>470</v>
      </c>
      <c r="M103" t="s">
        <v>55</v>
      </c>
      <c r="N103">
        <v>29</v>
      </c>
    </row>
    <row r="104" spans="1:14" x14ac:dyDescent="0.3">
      <c r="A104" t="s">
        <v>212</v>
      </c>
      <c r="B104" t="s">
        <v>43</v>
      </c>
      <c r="C104" t="s">
        <v>50</v>
      </c>
      <c r="D104" t="s">
        <v>45</v>
      </c>
      <c r="E104" t="s">
        <v>49</v>
      </c>
      <c r="F104" s="2">
        <v>361</v>
      </c>
      <c r="G104" s="2">
        <v>5</v>
      </c>
      <c r="H104" s="2">
        <v>5</v>
      </c>
      <c r="I104" t="s">
        <v>35</v>
      </c>
      <c r="J104" t="s">
        <v>41</v>
      </c>
      <c r="K104" s="1">
        <v>45734</v>
      </c>
      <c r="L104" s="2" t="s">
        <v>471</v>
      </c>
      <c r="M104" t="s">
        <v>55</v>
      </c>
      <c r="N104">
        <v>49</v>
      </c>
    </row>
    <row r="105" spans="1:14" x14ac:dyDescent="0.3">
      <c r="A105" t="s">
        <v>213</v>
      </c>
      <c r="B105" t="s">
        <v>414</v>
      </c>
      <c r="C105" t="s">
        <v>38</v>
      </c>
      <c r="D105" t="s">
        <v>52</v>
      </c>
      <c r="E105" t="s">
        <v>57</v>
      </c>
      <c r="F105" s="2">
        <v>2139</v>
      </c>
      <c r="G105" s="2">
        <v>1</v>
      </c>
      <c r="H105" s="2">
        <v>3</v>
      </c>
      <c r="I105" t="s">
        <v>51</v>
      </c>
      <c r="J105" t="s">
        <v>36</v>
      </c>
      <c r="K105" s="1">
        <v>45672</v>
      </c>
      <c r="L105" s="2" t="s">
        <v>214</v>
      </c>
      <c r="M105" t="s">
        <v>47</v>
      </c>
      <c r="N105">
        <v>49</v>
      </c>
    </row>
    <row r="106" spans="1:14" x14ac:dyDescent="0.3">
      <c r="A106" t="s">
        <v>215</v>
      </c>
      <c r="B106" t="s">
        <v>416</v>
      </c>
      <c r="C106" t="s">
        <v>54</v>
      </c>
      <c r="D106" t="s">
        <v>48</v>
      </c>
      <c r="E106" t="s">
        <v>57</v>
      </c>
      <c r="F106" s="2">
        <v>1550</v>
      </c>
      <c r="G106" s="2">
        <v>1</v>
      </c>
      <c r="H106" s="2">
        <v>3</v>
      </c>
      <c r="I106" t="s">
        <v>61</v>
      </c>
      <c r="J106" t="s">
        <v>53</v>
      </c>
      <c r="K106" s="1">
        <v>45662</v>
      </c>
      <c r="L106" s="2" t="s">
        <v>216</v>
      </c>
      <c r="M106" t="s">
        <v>55</v>
      </c>
      <c r="N106">
        <v>15</v>
      </c>
    </row>
    <row r="107" spans="1:14" x14ac:dyDescent="0.3">
      <c r="A107" t="s">
        <v>217</v>
      </c>
      <c r="B107" t="s">
        <v>416</v>
      </c>
      <c r="C107" t="s">
        <v>56</v>
      </c>
      <c r="D107" t="s">
        <v>45</v>
      </c>
      <c r="E107" t="s">
        <v>57</v>
      </c>
      <c r="F107" s="2">
        <v>2632</v>
      </c>
      <c r="G107" s="2">
        <v>3</v>
      </c>
      <c r="H107" s="2">
        <v>5</v>
      </c>
      <c r="I107" t="s">
        <v>40</v>
      </c>
      <c r="J107" t="s">
        <v>36</v>
      </c>
      <c r="K107" s="1">
        <v>45742</v>
      </c>
      <c r="L107" s="2" t="s">
        <v>472</v>
      </c>
      <c r="M107" t="s">
        <v>55</v>
      </c>
      <c r="N107">
        <v>49</v>
      </c>
    </row>
    <row r="108" spans="1:14" x14ac:dyDescent="0.3">
      <c r="A108" t="s">
        <v>218</v>
      </c>
      <c r="B108" t="s">
        <v>63</v>
      </c>
      <c r="C108" t="s">
        <v>56</v>
      </c>
      <c r="D108" t="s">
        <v>48</v>
      </c>
      <c r="E108" t="s">
        <v>34</v>
      </c>
      <c r="F108" s="2">
        <v>2102</v>
      </c>
      <c r="G108" s="2">
        <v>5</v>
      </c>
      <c r="H108" s="2">
        <v>2</v>
      </c>
      <c r="I108" t="s">
        <v>51</v>
      </c>
      <c r="J108" t="s">
        <v>41</v>
      </c>
      <c r="K108" s="1">
        <v>45668</v>
      </c>
      <c r="L108" s="2" t="s">
        <v>473</v>
      </c>
      <c r="M108" t="s">
        <v>47</v>
      </c>
      <c r="N108">
        <v>46</v>
      </c>
    </row>
    <row r="109" spans="1:14" x14ac:dyDescent="0.3">
      <c r="A109" t="s">
        <v>219</v>
      </c>
      <c r="B109" t="s">
        <v>37</v>
      </c>
      <c r="C109" t="s">
        <v>38</v>
      </c>
      <c r="D109" t="s">
        <v>39</v>
      </c>
      <c r="E109" t="s">
        <v>59</v>
      </c>
      <c r="F109" s="2">
        <v>179</v>
      </c>
      <c r="G109" s="2">
        <v>3</v>
      </c>
      <c r="H109" s="2">
        <v>3</v>
      </c>
      <c r="I109" t="s">
        <v>61</v>
      </c>
      <c r="J109" t="s">
        <v>36</v>
      </c>
      <c r="K109" s="1">
        <v>45903</v>
      </c>
      <c r="L109" s="2" t="s">
        <v>220</v>
      </c>
      <c r="M109" t="s">
        <v>55</v>
      </c>
      <c r="N109">
        <v>45</v>
      </c>
    </row>
    <row r="110" spans="1:14" x14ac:dyDescent="0.3">
      <c r="A110" t="s">
        <v>221</v>
      </c>
      <c r="B110" t="s">
        <v>43</v>
      </c>
      <c r="C110" t="s">
        <v>44</v>
      </c>
      <c r="D110" t="s">
        <v>48</v>
      </c>
      <c r="E110" t="s">
        <v>34</v>
      </c>
      <c r="F110" s="2">
        <v>2416</v>
      </c>
      <c r="G110" s="2">
        <v>3</v>
      </c>
      <c r="H110" s="2">
        <v>3</v>
      </c>
      <c r="I110" t="s">
        <v>35</v>
      </c>
      <c r="J110" t="s">
        <v>36</v>
      </c>
      <c r="K110" s="1">
        <v>45675</v>
      </c>
      <c r="L110" s="2" t="s">
        <v>474</v>
      </c>
      <c r="M110" t="s">
        <v>47</v>
      </c>
      <c r="N110">
        <v>49</v>
      </c>
    </row>
    <row r="111" spans="1:14" x14ac:dyDescent="0.3">
      <c r="A111" t="s">
        <v>222</v>
      </c>
      <c r="B111" t="s">
        <v>63</v>
      </c>
      <c r="C111" t="s">
        <v>32</v>
      </c>
      <c r="D111" t="s">
        <v>45</v>
      </c>
      <c r="E111" t="s">
        <v>34</v>
      </c>
      <c r="F111" s="2">
        <v>384</v>
      </c>
      <c r="G111" s="2">
        <v>3</v>
      </c>
      <c r="H111" s="2">
        <v>3</v>
      </c>
      <c r="I111" t="s">
        <v>40</v>
      </c>
      <c r="J111" t="s">
        <v>36</v>
      </c>
      <c r="K111" s="1">
        <v>45763</v>
      </c>
      <c r="L111" s="2" t="s">
        <v>475</v>
      </c>
      <c r="M111" t="s">
        <v>47</v>
      </c>
      <c r="N111">
        <v>45</v>
      </c>
    </row>
    <row r="112" spans="1:14" x14ac:dyDescent="0.3">
      <c r="A112" t="s">
        <v>223</v>
      </c>
      <c r="B112" t="s">
        <v>416</v>
      </c>
      <c r="C112" t="s">
        <v>50</v>
      </c>
      <c r="D112" t="s">
        <v>33</v>
      </c>
      <c r="E112" t="s">
        <v>34</v>
      </c>
      <c r="F112" s="2">
        <v>696</v>
      </c>
      <c r="G112" s="2">
        <v>2</v>
      </c>
      <c r="H112" s="2">
        <v>3</v>
      </c>
      <c r="I112" t="s">
        <v>40</v>
      </c>
      <c r="J112" t="s">
        <v>36</v>
      </c>
      <c r="K112" s="1">
        <v>45709</v>
      </c>
      <c r="L112" s="2" t="s">
        <v>476</v>
      </c>
      <c r="M112" t="s">
        <v>55</v>
      </c>
      <c r="N112">
        <v>49</v>
      </c>
    </row>
    <row r="113" spans="1:14" x14ac:dyDescent="0.3">
      <c r="A113" t="s">
        <v>224</v>
      </c>
      <c r="B113" t="s">
        <v>37</v>
      </c>
      <c r="C113" t="s">
        <v>54</v>
      </c>
      <c r="D113" t="s">
        <v>33</v>
      </c>
      <c r="E113" t="s">
        <v>57</v>
      </c>
      <c r="F113" s="2">
        <v>882</v>
      </c>
      <c r="G113" s="2">
        <v>5</v>
      </c>
      <c r="H113" s="2">
        <v>2</v>
      </c>
      <c r="I113" t="s">
        <v>40</v>
      </c>
      <c r="J113" t="s">
        <v>41</v>
      </c>
      <c r="K113" s="1">
        <v>45763</v>
      </c>
      <c r="L113" s="2" t="s">
        <v>225</v>
      </c>
      <c r="M113" t="s">
        <v>55</v>
      </c>
      <c r="N113">
        <v>49</v>
      </c>
    </row>
    <row r="114" spans="1:14" x14ac:dyDescent="0.3">
      <c r="A114" t="s">
        <v>226</v>
      </c>
      <c r="B114" t="s">
        <v>58</v>
      </c>
      <c r="C114" t="s">
        <v>44</v>
      </c>
      <c r="D114" t="s">
        <v>45</v>
      </c>
      <c r="E114" t="s">
        <v>59</v>
      </c>
      <c r="F114" s="2">
        <v>1831</v>
      </c>
      <c r="G114" s="2">
        <v>3</v>
      </c>
      <c r="H114" s="2">
        <v>1</v>
      </c>
      <c r="I114" t="s">
        <v>51</v>
      </c>
      <c r="J114" t="s">
        <v>36</v>
      </c>
      <c r="K114" s="1">
        <v>45720</v>
      </c>
      <c r="L114" s="2" t="s">
        <v>227</v>
      </c>
      <c r="M114" t="s">
        <v>47</v>
      </c>
      <c r="N114">
        <v>46</v>
      </c>
    </row>
    <row r="115" spans="1:14" x14ac:dyDescent="0.3">
      <c r="A115" t="s">
        <v>228</v>
      </c>
      <c r="B115" t="s">
        <v>414</v>
      </c>
      <c r="C115" t="s">
        <v>54</v>
      </c>
      <c r="D115" t="s">
        <v>52</v>
      </c>
      <c r="E115" t="s">
        <v>59</v>
      </c>
      <c r="F115" s="2">
        <v>1550</v>
      </c>
      <c r="G115" s="2">
        <v>1</v>
      </c>
      <c r="H115" s="2">
        <v>5</v>
      </c>
      <c r="I115" t="s">
        <v>35</v>
      </c>
      <c r="J115" t="s">
        <v>41</v>
      </c>
      <c r="K115" s="1">
        <v>45872</v>
      </c>
      <c r="L115" s="2" t="s">
        <v>477</v>
      </c>
      <c r="M115" t="s">
        <v>47</v>
      </c>
      <c r="N115">
        <v>49</v>
      </c>
    </row>
    <row r="116" spans="1:14" x14ac:dyDescent="0.3">
      <c r="A116" t="s">
        <v>229</v>
      </c>
      <c r="B116" t="s">
        <v>43</v>
      </c>
      <c r="C116" t="s">
        <v>38</v>
      </c>
      <c r="D116" t="s">
        <v>48</v>
      </c>
      <c r="E116" t="s">
        <v>57</v>
      </c>
      <c r="F116" s="2">
        <v>468</v>
      </c>
      <c r="G116" s="2">
        <v>2</v>
      </c>
      <c r="H116" s="2">
        <v>1</v>
      </c>
      <c r="I116" t="s">
        <v>61</v>
      </c>
      <c r="J116" t="s">
        <v>36</v>
      </c>
      <c r="K116" s="1">
        <v>45725</v>
      </c>
      <c r="L116" s="2" t="s">
        <v>478</v>
      </c>
      <c r="M116" t="s">
        <v>55</v>
      </c>
      <c r="N116">
        <v>45</v>
      </c>
    </row>
    <row r="117" spans="1:14" x14ac:dyDescent="0.3">
      <c r="A117" t="s">
        <v>230</v>
      </c>
      <c r="B117" t="s">
        <v>414</v>
      </c>
      <c r="C117" t="s">
        <v>44</v>
      </c>
      <c r="D117" t="s">
        <v>45</v>
      </c>
      <c r="E117" t="s">
        <v>34</v>
      </c>
      <c r="F117" s="2">
        <v>2020</v>
      </c>
      <c r="G117" s="2">
        <v>2</v>
      </c>
      <c r="H117" s="2">
        <v>5</v>
      </c>
      <c r="I117" t="s">
        <v>40</v>
      </c>
      <c r="J117" t="s">
        <v>41</v>
      </c>
      <c r="K117" s="1">
        <v>45745</v>
      </c>
      <c r="L117" s="2" t="s">
        <v>479</v>
      </c>
      <c r="M117" t="s">
        <v>47</v>
      </c>
      <c r="N117">
        <v>49</v>
      </c>
    </row>
    <row r="118" spans="1:14" x14ac:dyDescent="0.3">
      <c r="A118" t="s">
        <v>231</v>
      </c>
      <c r="B118" t="s">
        <v>37</v>
      </c>
      <c r="C118" t="s">
        <v>44</v>
      </c>
      <c r="D118" t="s">
        <v>52</v>
      </c>
      <c r="E118" t="s">
        <v>34</v>
      </c>
      <c r="F118" s="2">
        <v>499</v>
      </c>
      <c r="G118" s="2">
        <v>2</v>
      </c>
      <c r="H118" s="2">
        <v>3</v>
      </c>
      <c r="I118" t="s">
        <v>35</v>
      </c>
      <c r="J118" t="s">
        <v>36</v>
      </c>
      <c r="K118" s="1">
        <v>45688</v>
      </c>
      <c r="L118" s="2" t="s">
        <v>232</v>
      </c>
      <c r="M118" t="s">
        <v>55</v>
      </c>
      <c r="N118">
        <v>58</v>
      </c>
    </row>
    <row r="119" spans="1:14" x14ac:dyDescent="0.3">
      <c r="A119" t="s">
        <v>233</v>
      </c>
      <c r="B119" t="s">
        <v>58</v>
      </c>
      <c r="C119" t="s">
        <v>32</v>
      </c>
      <c r="D119" t="s">
        <v>62</v>
      </c>
      <c r="E119" t="s">
        <v>57</v>
      </c>
      <c r="F119" s="2">
        <v>660</v>
      </c>
      <c r="G119" s="2">
        <v>3</v>
      </c>
      <c r="H119" s="2">
        <v>3</v>
      </c>
      <c r="I119" t="s">
        <v>61</v>
      </c>
      <c r="J119" t="s">
        <v>53</v>
      </c>
      <c r="K119" s="1">
        <v>45766</v>
      </c>
      <c r="L119" s="2" t="s">
        <v>234</v>
      </c>
      <c r="M119" t="s">
        <v>55</v>
      </c>
      <c r="N119">
        <v>49</v>
      </c>
    </row>
    <row r="120" spans="1:14" x14ac:dyDescent="0.3">
      <c r="A120" t="s">
        <v>235</v>
      </c>
      <c r="B120" t="s">
        <v>415</v>
      </c>
      <c r="C120" t="s">
        <v>56</v>
      </c>
      <c r="D120" t="s">
        <v>33</v>
      </c>
      <c r="E120" t="s">
        <v>49</v>
      </c>
      <c r="F120" s="2">
        <v>2895</v>
      </c>
      <c r="G120" s="2">
        <v>3</v>
      </c>
      <c r="H120" s="2">
        <v>1</v>
      </c>
      <c r="I120" t="s">
        <v>61</v>
      </c>
      <c r="J120" t="s">
        <v>36</v>
      </c>
      <c r="K120" s="1">
        <v>45759</v>
      </c>
      <c r="L120" s="2" t="s">
        <v>236</v>
      </c>
      <c r="M120" t="s">
        <v>55</v>
      </c>
      <c r="N120">
        <v>49</v>
      </c>
    </row>
    <row r="121" spans="1:14" x14ac:dyDescent="0.3">
      <c r="A121" t="s">
        <v>237</v>
      </c>
      <c r="B121" t="s">
        <v>58</v>
      </c>
      <c r="C121" t="s">
        <v>38</v>
      </c>
      <c r="D121" t="s">
        <v>33</v>
      </c>
      <c r="E121" t="s">
        <v>49</v>
      </c>
      <c r="F121" s="2">
        <v>1550</v>
      </c>
      <c r="G121" s="2">
        <v>2</v>
      </c>
      <c r="H121" s="2">
        <v>4</v>
      </c>
      <c r="I121" t="s">
        <v>40</v>
      </c>
      <c r="J121" t="s">
        <v>36</v>
      </c>
      <c r="K121" s="1">
        <v>45720</v>
      </c>
      <c r="L121" s="2" t="s">
        <v>238</v>
      </c>
      <c r="M121" t="s">
        <v>55</v>
      </c>
      <c r="N121">
        <v>45</v>
      </c>
    </row>
    <row r="122" spans="1:14" x14ac:dyDescent="0.3">
      <c r="A122" t="s">
        <v>239</v>
      </c>
      <c r="B122" t="s">
        <v>63</v>
      </c>
      <c r="C122" t="s">
        <v>50</v>
      </c>
      <c r="D122" t="s">
        <v>33</v>
      </c>
      <c r="E122" t="s">
        <v>49</v>
      </c>
      <c r="F122" s="2">
        <v>2919</v>
      </c>
      <c r="G122" s="2">
        <v>3</v>
      </c>
      <c r="H122" s="2">
        <v>3</v>
      </c>
      <c r="I122" t="s">
        <v>61</v>
      </c>
      <c r="J122" t="s">
        <v>41</v>
      </c>
      <c r="K122" s="1">
        <v>45719</v>
      </c>
      <c r="L122" s="2" t="s">
        <v>480</v>
      </c>
      <c r="M122" t="s">
        <v>55</v>
      </c>
      <c r="N122">
        <v>45</v>
      </c>
    </row>
    <row r="123" spans="1:14" x14ac:dyDescent="0.3">
      <c r="A123" t="s">
        <v>240</v>
      </c>
      <c r="B123" t="s">
        <v>58</v>
      </c>
      <c r="C123" t="s">
        <v>38</v>
      </c>
      <c r="D123" t="s">
        <v>62</v>
      </c>
      <c r="E123" t="s">
        <v>59</v>
      </c>
      <c r="F123" s="2">
        <v>1024</v>
      </c>
      <c r="G123" s="2">
        <v>2</v>
      </c>
      <c r="H123" s="2">
        <v>4</v>
      </c>
      <c r="I123" t="s">
        <v>61</v>
      </c>
      <c r="J123" t="s">
        <v>41</v>
      </c>
      <c r="K123" s="1">
        <v>45754</v>
      </c>
      <c r="L123" s="2" t="s">
        <v>481</v>
      </c>
      <c r="M123" t="s">
        <v>47</v>
      </c>
      <c r="N123">
        <v>49</v>
      </c>
    </row>
    <row r="124" spans="1:14" x14ac:dyDescent="0.3">
      <c r="A124" t="s">
        <v>241</v>
      </c>
      <c r="B124" t="s">
        <v>415</v>
      </c>
      <c r="C124" t="s">
        <v>56</v>
      </c>
      <c r="D124" t="s">
        <v>39</v>
      </c>
      <c r="E124" t="s">
        <v>46</v>
      </c>
      <c r="F124" s="2">
        <v>1550</v>
      </c>
      <c r="G124" s="2">
        <v>3</v>
      </c>
      <c r="H124" s="2">
        <v>3</v>
      </c>
      <c r="I124" t="s">
        <v>51</v>
      </c>
      <c r="J124" t="s">
        <v>53</v>
      </c>
      <c r="K124" s="1">
        <v>45698</v>
      </c>
      <c r="L124" s="2" t="s">
        <v>482</v>
      </c>
      <c r="M124" t="s">
        <v>55</v>
      </c>
      <c r="N124">
        <v>49</v>
      </c>
    </row>
    <row r="125" spans="1:14" x14ac:dyDescent="0.3">
      <c r="A125" t="s">
        <v>242</v>
      </c>
      <c r="B125" t="s">
        <v>414</v>
      </c>
      <c r="C125" t="s">
        <v>56</v>
      </c>
      <c r="D125" t="s">
        <v>52</v>
      </c>
      <c r="E125" t="s">
        <v>34</v>
      </c>
      <c r="F125" s="2">
        <v>273</v>
      </c>
      <c r="G125" s="2">
        <v>3</v>
      </c>
      <c r="H125" s="2">
        <v>3</v>
      </c>
      <c r="I125" t="s">
        <v>35</v>
      </c>
      <c r="J125" t="s">
        <v>36</v>
      </c>
      <c r="K125" s="1">
        <v>45713</v>
      </c>
      <c r="L125" s="2" t="s">
        <v>243</v>
      </c>
      <c r="M125" t="s">
        <v>47</v>
      </c>
      <c r="N125">
        <v>45</v>
      </c>
    </row>
    <row r="126" spans="1:14" x14ac:dyDescent="0.3">
      <c r="A126" t="s">
        <v>244</v>
      </c>
      <c r="B126" t="s">
        <v>414</v>
      </c>
      <c r="C126" t="s">
        <v>54</v>
      </c>
      <c r="D126" t="s">
        <v>62</v>
      </c>
      <c r="E126" t="s">
        <v>46</v>
      </c>
      <c r="F126" s="2">
        <v>913</v>
      </c>
      <c r="G126" s="2">
        <v>4</v>
      </c>
      <c r="H126" s="2">
        <v>3</v>
      </c>
      <c r="I126" t="s">
        <v>40</v>
      </c>
      <c r="J126" t="s">
        <v>41</v>
      </c>
      <c r="K126" s="1">
        <v>45709</v>
      </c>
      <c r="L126" s="2" t="s">
        <v>245</v>
      </c>
      <c r="M126" t="s">
        <v>47</v>
      </c>
      <c r="N126">
        <v>49</v>
      </c>
    </row>
    <row r="127" spans="1:14" x14ac:dyDescent="0.3">
      <c r="A127" t="s">
        <v>246</v>
      </c>
      <c r="B127" t="s">
        <v>43</v>
      </c>
      <c r="C127" t="s">
        <v>56</v>
      </c>
      <c r="D127" t="s">
        <v>33</v>
      </c>
      <c r="E127" t="s">
        <v>59</v>
      </c>
      <c r="F127" s="2">
        <v>1550</v>
      </c>
      <c r="G127" s="2">
        <v>5</v>
      </c>
      <c r="H127" s="2">
        <v>5</v>
      </c>
      <c r="I127" t="s">
        <v>35</v>
      </c>
      <c r="J127" t="s">
        <v>41</v>
      </c>
      <c r="K127" s="1">
        <v>45774</v>
      </c>
      <c r="L127" s="2" t="s">
        <v>483</v>
      </c>
      <c r="M127" t="s">
        <v>55</v>
      </c>
      <c r="N127">
        <v>49</v>
      </c>
    </row>
    <row r="128" spans="1:14" x14ac:dyDescent="0.3">
      <c r="A128" t="s">
        <v>247</v>
      </c>
      <c r="B128" t="s">
        <v>416</v>
      </c>
      <c r="C128" t="s">
        <v>32</v>
      </c>
      <c r="D128" t="s">
        <v>62</v>
      </c>
      <c r="E128" t="s">
        <v>34</v>
      </c>
      <c r="F128" s="2">
        <v>604</v>
      </c>
      <c r="G128" s="2">
        <v>2</v>
      </c>
      <c r="H128" s="2">
        <v>5</v>
      </c>
      <c r="I128" t="s">
        <v>40</v>
      </c>
      <c r="J128" t="s">
        <v>41</v>
      </c>
      <c r="K128" s="1">
        <v>45708</v>
      </c>
      <c r="L128" s="2" t="s">
        <v>484</v>
      </c>
      <c r="M128" t="s">
        <v>55</v>
      </c>
      <c r="N128">
        <v>45</v>
      </c>
    </row>
    <row r="129" spans="1:14" x14ac:dyDescent="0.3">
      <c r="A129" t="s">
        <v>248</v>
      </c>
      <c r="B129" t="s">
        <v>43</v>
      </c>
      <c r="C129" t="s">
        <v>50</v>
      </c>
      <c r="D129" t="s">
        <v>33</v>
      </c>
      <c r="E129" t="s">
        <v>57</v>
      </c>
      <c r="F129" s="2">
        <v>1550</v>
      </c>
      <c r="G129" s="2">
        <v>3</v>
      </c>
      <c r="H129" s="2">
        <v>3</v>
      </c>
      <c r="I129" t="s">
        <v>35</v>
      </c>
      <c r="J129" t="s">
        <v>36</v>
      </c>
      <c r="K129" s="1">
        <v>45746</v>
      </c>
      <c r="L129" s="2" t="s">
        <v>249</v>
      </c>
      <c r="M129" t="s">
        <v>47</v>
      </c>
      <c r="N129">
        <v>39</v>
      </c>
    </row>
    <row r="130" spans="1:14" x14ac:dyDescent="0.3">
      <c r="A130" t="s">
        <v>250</v>
      </c>
      <c r="B130" t="s">
        <v>416</v>
      </c>
      <c r="C130" t="s">
        <v>38</v>
      </c>
      <c r="D130" t="s">
        <v>39</v>
      </c>
      <c r="E130" t="s">
        <v>34</v>
      </c>
      <c r="F130" s="2">
        <v>1550</v>
      </c>
      <c r="G130" s="2">
        <v>5</v>
      </c>
      <c r="H130" s="2">
        <v>2</v>
      </c>
      <c r="I130" t="s">
        <v>51</v>
      </c>
      <c r="J130" t="s">
        <v>36</v>
      </c>
      <c r="K130" s="1">
        <v>45706</v>
      </c>
      <c r="L130" s="2" t="s">
        <v>485</v>
      </c>
      <c r="M130" t="s">
        <v>47</v>
      </c>
      <c r="N130">
        <v>49</v>
      </c>
    </row>
    <row r="131" spans="1:14" x14ac:dyDescent="0.3">
      <c r="A131" t="s">
        <v>251</v>
      </c>
      <c r="B131" t="s">
        <v>414</v>
      </c>
      <c r="C131" t="s">
        <v>56</v>
      </c>
      <c r="D131" t="s">
        <v>52</v>
      </c>
      <c r="E131" t="s">
        <v>49</v>
      </c>
      <c r="F131" s="2">
        <v>1050</v>
      </c>
      <c r="G131" s="2">
        <v>2</v>
      </c>
      <c r="H131" s="2">
        <v>5</v>
      </c>
      <c r="I131" t="s">
        <v>40</v>
      </c>
      <c r="J131" t="s">
        <v>41</v>
      </c>
      <c r="K131" s="1">
        <v>45702</v>
      </c>
      <c r="L131" s="2" t="s">
        <v>252</v>
      </c>
      <c r="M131" t="s">
        <v>55</v>
      </c>
      <c r="N131">
        <v>45</v>
      </c>
    </row>
    <row r="132" spans="1:14" x14ac:dyDescent="0.3">
      <c r="A132" t="s">
        <v>253</v>
      </c>
      <c r="B132" t="s">
        <v>63</v>
      </c>
      <c r="C132" t="s">
        <v>38</v>
      </c>
      <c r="D132" t="s">
        <v>52</v>
      </c>
      <c r="E132" t="s">
        <v>49</v>
      </c>
      <c r="F132" s="2">
        <v>1550</v>
      </c>
      <c r="G132" s="2">
        <v>1</v>
      </c>
      <c r="H132" s="2">
        <v>5</v>
      </c>
      <c r="I132" t="s">
        <v>51</v>
      </c>
      <c r="J132" t="s">
        <v>36</v>
      </c>
      <c r="K132" s="1">
        <v>45933</v>
      </c>
      <c r="L132" s="2" t="s">
        <v>486</v>
      </c>
      <c r="M132" t="s">
        <v>55</v>
      </c>
      <c r="N132">
        <v>49</v>
      </c>
    </row>
    <row r="133" spans="1:14" x14ac:dyDescent="0.3">
      <c r="A133" t="s">
        <v>254</v>
      </c>
      <c r="B133" t="s">
        <v>63</v>
      </c>
      <c r="C133" t="s">
        <v>54</v>
      </c>
      <c r="D133" t="s">
        <v>33</v>
      </c>
      <c r="E133" t="s">
        <v>34</v>
      </c>
      <c r="F133" s="2">
        <v>655</v>
      </c>
      <c r="G133" s="2">
        <v>1</v>
      </c>
      <c r="H133" s="2">
        <v>5</v>
      </c>
      <c r="I133" t="s">
        <v>40</v>
      </c>
      <c r="J133" t="s">
        <v>36</v>
      </c>
      <c r="K133" s="1">
        <v>45992</v>
      </c>
      <c r="L133" s="2" t="s">
        <v>487</v>
      </c>
      <c r="M133" t="s">
        <v>47</v>
      </c>
      <c r="N133">
        <v>65</v>
      </c>
    </row>
    <row r="134" spans="1:14" x14ac:dyDescent="0.3">
      <c r="A134" t="s">
        <v>255</v>
      </c>
      <c r="B134" t="s">
        <v>416</v>
      </c>
      <c r="C134" t="s">
        <v>44</v>
      </c>
      <c r="D134" t="s">
        <v>45</v>
      </c>
      <c r="E134" t="s">
        <v>57</v>
      </c>
      <c r="F134" s="2">
        <v>2743</v>
      </c>
      <c r="G134" s="2">
        <v>3</v>
      </c>
      <c r="H134" s="2">
        <v>4</v>
      </c>
      <c r="I134" t="s">
        <v>40</v>
      </c>
      <c r="J134" t="s">
        <v>36</v>
      </c>
      <c r="K134" s="1">
        <v>45758</v>
      </c>
      <c r="L134" s="2" t="s">
        <v>488</v>
      </c>
      <c r="M134" t="s">
        <v>47</v>
      </c>
      <c r="N134">
        <v>45</v>
      </c>
    </row>
    <row r="135" spans="1:14" x14ac:dyDescent="0.3">
      <c r="A135" t="s">
        <v>256</v>
      </c>
      <c r="B135" t="s">
        <v>58</v>
      </c>
      <c r="C135" t="s">
        <v>56</v>
      </c>
      <c r="D135" t="s">
        <v>62</v>
      </c>
      <c r="E135" t="s">
        <v>46</v>
      </c>
      <c r="F135" s="2">
        <v>1550</v>
      </c>
      <c r="G135" s="2">
        <v>2</v>
      </c>
      <c r="H135" s="2">
        <v>3</v>
      </c>
      <c r="I135" t="s">
        <v>51</v>
      </c>
      <c r="J135" t="s">
        <v>36</v>
      </c>
      <c r="K135" s="1">
        <v>45763</v>
      </c>
      <c r="L135" s="2" t="s">
        <v>489</v>
      </c>
      <c r="M135" t="s">
        <v>55</v>
      </c>
      <c r="N135">
        <v>45</v>
      </c>
    </row>
    <row r="136" spans="1:14" x14ac:dyDescent="0.3">
      <c r="A136" t="s">
        <v>257</v>
      </c>
      <c r="B136" t="s">
        <v>414</v>
      </c>
      <c r="C136" t="s">
        <v>56</v>
      </c>
      <c r="D136" t="s">
        <v>33</v>
      </c>
      <c r="E136" t="s">
        <v>46</v>
      </c>
      <c r="F136" s="2">
        <v>2147</v>
      </c>
      <c r="G136" s="2">
        <v>3</v>
      </c>
      <c r="H136" s="2">
        <v>3</v>
      </c>
      <c r="I136" t="s">
        <v>35</v>
      </c>
      <c r="J136" t="s">
        <v>41</v>
      </c>
      <c r="K136" s="1">
        <v>45677</v>
      </c>
      <c r="L136" s="2" t="s">
        <v>258</v>
      </c>
      <c r="M136" t="s">
        <v>55</v>
      </c>
      <c r="N136">
        <v>49</v>
      </c>
    </row>
    <row r="137" spans="1:14" x14ac:dyDescent="0.3">
      <c r="A137" t="s">
        <v>259</v>
      </c>
      <c r="B137" t="s">
        <v>416</v>
      </c>
      <c r="C137" t="s">
        <v>32</v>
      </c>
      <c r="D137" t="s">
        <v>62</v>
      </c>
      <c r="E137" t="s">
        <v>46</v>
      </c>
      <c r="F137" s="2">
        <v>2858</v>
      </c>
      <c r="G137" s="2">
        <v>3</v>
      </c>
      <c r="H137" s="2">
        <v>3</v>
      </c>
      <c r="I137" t="s">
        <v>35</v>
      </c>
      <c r="J137" t="s">
        <v>41</v>
      </c>
      <c r="K137" s="1">
        <v>45774</v>
      </c>
      <c r="L137" s="2" t="s">
        <v>260</v>
      </c>
      <c r="M137" t="s">
        <v>55</v>
      </c>
      <c r="N137">
        <v>49</v>
      </c>
    </row>
    <row r="138" spans="1:14" x14ac:dyDescent="0.3">
      <c r="A138" t="s">
        <v>261</v>
      </c>
      <c r="B138" t="s">
        <v>37</v>
      </c>
      <c r="C138" t="s">
        <v>44</v>
      </c>
      <c r="D138" t="s">
        <v>48</v>
      </c>
      <c r="E138" t="s">
        <v>34</v>
      </c>
      <c r="F138" s="2">
        <v>1658</v>
      </c>
      <c r="G138" s="2">
        <v>4</v>
      </c>
      <c r="H138" s="2">
        <v>5</v>
      </c>
      <c r="I138" t="s">
        <v>40</v>
      </c>
      <c r="J138" t="s">
        <v>41</v>
      </c>
      <c r="K138" s="1">
        <v>45732</v>
      </c>
      <c r="L138" s="2" t="s">
        <v>490</v>
      </c>
      <c r="M138" t="s">
        <v>55</v>
      </c>
      <c r="N138">
        <v>45</v>
      </c>
    </row>
    <row r="139" spans="1:14" x14ac:dyDescent="0.3">
      <c r="A139" t="s">
        <v>262</v>
      </c>
      <c r="B139" t="s">
        <v>37</v>
      </c>
      <c r="C139" t="s">
        <v>56</v>
      </c>
      <c r="D139" t="s">
        <v>52</v>
      </c>
      <c r="E139" t="s">
        <v>34</v>
      </c>
      <c r="F139" s="2">
        <v>538</v>
      </c>
      <c r="G139" s="2">
        <v>2</v>
      </c>
      <c r="H139" s="2">
        <v>5</v>
      </c>
      <c r="I139" t="s">
        <v>40</v>
      </c>
      <c r="J139" t="s">
        <v>41</v>
      </c>
      <c r="K139" s="1">
        <v>45738</v>
      </c>
      <c r="L139" s="2" t="s">
        <v>491</v>
      </c>
      <c r="M139" t="s">
        <v>47</v>
      </c>
      <c r="N139">
        <v>30</v>
      </c>
    </row>
    <row r="140" spans="1:14" x14ac:dyDescent="0.3">
      <c r="A140" t="s">
        <v>263</v>
      </c>
      <c r="B140" t="s">
        <v>414</v>
      </c>
      <c r="C140" t="s">
        <v>56</v>
      </c>
      <c r="D140" t="s">
        <v>48</v>
      </c>
      <c r="E140" t="s">
        <v>59</v>
      </c>
      <c r="F140" s="2">
        <v>1878</v>
      </c>
      <c r="G140" s="2">
        <v>1</v>
      </c>
      <c r="H140" s="2">
        <v>2</v>
      </c>
      <c r="I140" t="s">
        <v>35</v>
      </c>
      <c r="J140" t="s">
        <v>36</v>
      </c>
      <c r="K140" s="1">
        <v>45684</v>
      </c>
      <c r="L140" s="2" t="s">
        <v>492</v>
      </c>
      <c r="M140" t="s">
        <v>47</v>
      </c>
      <c r="N140">
        <v>49</v>
      </c>
    </row>
    <row r="141" spans="1:14" x14ac:dyDescent="0.3">
      <c r="A141" t="s">
        <v>264</v>
      </c>
      <c r="B141" t="s">
        <v>58</v>
      </c>
      <c r="C141" t="s">
        <v>32</v>
      </c>
      <c r="D141" t="s">
        <v>45</v>
      </c>
      <c r="E141" t="s">
        <v>49</v>
      </c>
      <c r="F141" s="2">
        <v>1835</v>
      </c>
      <c r="G141" s="2">
        <v>2</v>
      </c>
      <c r="H141" s="2">
        <v>5</v>
      </c>
      <c r="I141" t="s">
        <v>51</v>
      </c>
      <c r="J141" t="s">
        <v>36</v>
      </c>
      <c r="K141" s="1">
        <v>45676</v>
      </c>
      <c r="L141" s="2" t="s">
        <v>265</v>
      </c>
      <c r="M141" t="s">
        <v>55</v>
      </c>
      <c r="N141">
        <v>45</v>
      </c>
    </row>
    <row r="142" spans="1:14" x14ac:dyDescent="0.3">
      <c r="A142" t="s">
        <v>266</v>
      </c>
      <c r="B142" t="s">
        <v>414</v>
      </c>
      <c r="C142" t="s">
        <v>54</v>
      </c>
      <c r="D142" t="s">
        <v>45</v>
      </c>
      <c r="E142" t="s">
        <v>57</v>
      </c>
      <c r="F142" s="2">
        <v>1550</v>
      </c>
      <c r="G142" s="2">
        <v>3</v>
      </c>
      <c r="H142" s="2">
        <v>1</v>
      </c>
      <c r="I142" t="s">
        <v>40</v>
      </c>
      <c r="J142" t="s">
        <v>36</v>
      </c>
      <c r="K142" s="1">
        <v>45839</v>
      </c>
      <c r="L142" s="2" t="s">
        <v>267</v>
      </c>
      <c r="M142" t="s">
        <v>47</v>
      </c>
      <c r="N142">
        <v>67</v>
      </c>
    </row>
    <row r="143" spans="1:14" x14ac:dyDescent="0.3">
      <c r="A143" t="s">
        <v>268</v>
      </c>
      <c r="B143" t="s">
        <v>43</v>
      </c>
      <c r="C143" t="s">
        <v>32</v>
      </c>
      <c r="D143" t="s">
        <v>48</v>
      </c>
      <c r="E143" t="s">
        <v>46</v>
      </c>
      <c r="F143" s="2">
        <v>2042</v>
      </c>
      <c r="G143" s="2">
        <v>3</v>
      </c>
      <c r="H143" s="2">
        <v>2</v>
      </c>
      <c r="I143" t="s">
        <v>40</v>
      </c>
      <c r="J143" t="s">
        <v>41</v>
      </c>
      <c r="K143" s="1">
        <v>45706</v>
      </c>
      <c r="L143" s="2" t="s">
        <v>269</v>
      </c>
      <c r="M143" t="s">
        <v>47</v>
      </c>
      <c r="N143">
        <v>49</v>
      </c>
    </row>
    <row r="144" spans="1:14" x14ac:dyDescent="0.3">
      <c r="A144" t="s">
        <v>270</v>
      </c>
      <c r="B144" t="s">
        <v>43</v>
      </c>
      <c r="C144" t="s">
        <v>54</v>
      </c>
      <c r="D144" t="s">
        <v>45</v>
      </c>
      <c r="E144" t="s">
        <v>59</v>
      </c>
      <c r="F144" s="2">
        <v>358</v>
      </c>
      <c r="G144" s="2">
        <v>3</v>
      </c>
      <c r="H144" s="2">
        <v>5</v>
      </c>
      <c r="I144" t="s">
        <v>35</v>
      </c>
      <c r="J144" t="s">
        <v>36</v>
      </c>
      <c r="K144" s="1">
        <v>45727</v>
      </c>
      <c r="L144" s="2" t="s">
        <v>493</v>
      </c>
      <c r="M144" t="s">
        <v>47</v>
      </c>
      <c r="N144">
        <v>49</v>
      </c>
    </row>
    <row r="145" spans="1:14" x14ac:dyDescent="0.3">
      <c r="A145" t="s">
        <v>271</v>
      </c>
      <c r="B145" t="s">
        <v>37</v>
      </c>
      <c r="C145" t="s">
        <v>44</v>
      </c>
      <c r="D145" t="s">
        <v>45</v>
      </c>
      <c r="E145" t="s">
        <v>57</v>
      </c>
      <c r="F145" s="2">
        <v>1550</v>
      </c>
      <c r="G145" s="2">
        <v>2</v>
      </c>
      <c r="H145" s="2">
        <v>3</v>
      </c>
      <c r="I145" t="s">
        <v>35</v>
      </c>
      <c r="J145" t="s">
        <v>41</v>
      </c>
      <c r="K145" s="1">
        <v>45764</v>
      </c>
      <c r="L145" s="2" t="s">
        <v>494</v>
      </c>
      <c r="M145" t="s">
        <v>55</v>
      </c>
      <c r="N145">
        <v>31</v>
      </c>
    </row>
    <row r="146" spans="1:14" x14ac:dyDescent="0.3">
      <c r="A146" t="s">
        <v>272</v>
      </c>
      <c r="B146" t="s">
        <v>58</v>
      </c>
      <c r="C146" t="s">
        <v>50</v>
      </c>
      <c r="D146" t="s">
        <v>52</v>
      </c>
      <c r="E146" t="s">
        <v>49</v>
      </c>
      <c r="F146" s="2">
        <v>1550</v>
      </c>
      <c r="G146" s="2">
        <v>3</v>
      </c>
      <c r="H146" s="2">
        <v>4</v>
      </c>
      <c r="I146" t="s">
        <v>61</v>
      </c>
      <c r="J146" t="s">
        <v>53</v>
      </c>
      <c r="K146" s="1">
        <v>45760</v>
      </c>
      <c r="L146" s="2" t="s">
        <v>495</v>
      </c>
      <c r="M146" t="s">
        <v>55</v>
      </c>
      <c r="N146">
        <v>49</v>
      </c>
    </row>
    <row r="147" spans="1:14" x14ac:dyDescent="0.3">
      <c r="A147" t="s">
        <v>273</v>
      </c>
      <c r="B147" t="s">
        <v>58</v>
      </c>
      <c r="C147" t="s">
        <v>50</v>
      </c>
      <c r="D147" t="s">
        <v>48</v>
      </c>
      <c r="E147" t="s">
        <v>57</v>
      </c>
      <c r="F147" s="2">
        <v>1858</v>
      </c>
      <c r="G147" s="2">
        <v>5</v>
      </c>
      <c r="H147" s="2">
        <v>5</v>
      </c>
      <c r="I147" t="s">
        <v>61</v>
      </c>
      <c r="J147" t="s">
        <v>41</v>
      </c>
      <c r="K147" s="1">
        <v>45717</v>
      </c>
      <c r="L147" s="2" t="s">
        <v>274</v>
      </c>
      <c r="M147" t="s">
        <v>47</v>
      </c>
      <c r="N147">
        <v>45</v>
      </c>
    </row>
    <row r="148" spans="1:14" x14ac:dyDescent="0.3">
      <c r="A148" t="s">
        <v>275</v>
      </c>
      <c r="B148" t="s">
        <v>416</v>
      </c>
      <c r="C148" t="s">
        <v>44</v>
      </c>
      <c r="D148" t="s">
        <v>45</v>
      </c>
      <c r="E148" t="s">
        <v>34</v>
      </c>
      <c r="F148" s="2">
        <v>2300</v>
      </c>
      <c r="G148" s="2">
        <v>3</v>
      </c>
      <c r="H148" s="2">
        <v>3</v>
      </c>
      <c r="I148" t="s">
        <v>51</v>
      </c>
      <c r="J148" t="s">
        <v>41</v>
      </c>
      <c r="K148" s="1">
        <v>45689</v>
      </c>
      <c r="L148" s="2" t="s">
        <v>496</v>
      </c>
      <c r="M148" t="s">
        <v>55</v>
      </c>
      <c r="N148">
        <v>36</v>
      </c>
    </row>
    <row r="149" spans="1:14" x14ac:dyDescent="0.3">
      <c r="A149" t="s">
        <v>276</v>
      </c>
      <c r="B149" t="s">
        <v>414</v>
      </c>
      <c r="C149" t="s">
        <v>38</v>
      </c>
      <c r="D149" t="s">
        <v>48</v>
      </c>
      <c r="E149" t="s">
        <v>49</v>
      </c>
      <c r="F149" s="2">
        <v>1141</v>
      </c>
      <c r="G149" s="2">
        <v>5</v>
      </c>
      <c r="H149" s="2">
        <v>5</v>
      </c>
      <c r="I149" t="s">
        <v>51</v>
      </c>
      <c r="J149" t="s">
        <v>36</v>
      </c>
      <c r="K149" s="1">
        <v>45763</v>
      </c>
      <c r="L149" s="2" t="s">
        <v>277</v>
      </c>
      <c r="M149" t="s">
        <v>55</v>
      </c>
      <c r="N149">
        <v>49</v>
      </c>
    </row>
    <row r="150" spans="1:14" x14ac:dyDescent="0.3">
      <c r="A150" t="s">
        <v>278</v>
      </c>
      <c r="B150" t="s">
        <v>416</v>
      </c>
      <c r="C150" t="s">
        <v>54</v>
      </c>
      <c r="D150" t="s">
        <v>52</v>
      </c>
      <c r="E150" t="s">
        <v>49</v>
      </c>
      <c r="F150" s="2">
        <v>2208</v>
      </c>
      <c r="G150" s="2">
        <v>3</v>
      </c>
      <c r="H150" s="2">
        <v>3</v>
      </c>
      <c r="I150" t="s">
        <v>35</v>
      </c>
      <c r="J150" t="s">
        <v>36</v>
      </c>
      <c r="K150" s="1">
        <v>45762</v>
      </c>
      <c r="L150" s="2" t="s">
        <v>497</v>
      </c>
      <c r="M150" t="s">
        <v>47</v>
      </c>
      <c r="N150">
        <v>17</v>
      </c>
    </row>
    <row r="151" spans="1:14" x14ac:dyDescent="0.3">
      <c r="A151" t="s">
        <v>279</v>
      </c>
      <c r="B151" t="s">
        <v>43</v>
      </c>
      <c r="C151" t="s">
        <v>32</v>
      </c>
      <c r="D151" t="s">
        <v>52</v>
      </c>
      <c r="E151" t="s">
        <v>57</v>
      </c>
      <c r="F151" s="2">
        <v>1972</v>
      </c>
      <c r="G151" s="2">
        <v>2</v>
      </c>
      <c r="H151" s="2">
        <v>5</v>
      </c>
      <c r="I151" t="s">
        <v>61</v>
      </c>
      <c r="J151" t="s">
        <v>41</v>
      </c>
      <c r="K151" s="1">
        <v>45733</v>
      </c>
      <c r="L151" s="2" t="s">
        <v>280</v>
      </c>
      <c r="M151" t="s">
        <v>47</v>
      </c>
      <c r="N151">
        <v>49</v>
      </c>
    </row>
    <row r="152" spans="1:14" x14ac:dyDescent="0.3">
      <c r="A152" t="s">
        <v>281</v>
      </c>
      <c r="B152" t="s">
        <v>415</v>
      </c>
      <c r="C152" t="s">
        <v>32</v>
      </c>
      <c r="D152" t="s">
        <v>33</v>
      </c>
      <c r="E152" t="s">
        <v>34</v>
      </c>
      <c r="F152" s="2">
        <v>1600</v>
      </c>
      <c r="G152" s="2">
        <v>2</v>
      </c>
      <c r="H152" s="2">
        <v>5</v>
      </c>
      <c r="I152" t="s">
        <v>61</v>
      </c>
      <c r="J152" t="s">
        <v>36</v>
      </c>
      <c r="K152" s="1">
        <v>45764</v>
      </c>
      <c r="L152" s="2" t="s">
        <v>498</v>
      </c>
      <c r="M152" t="s">
        <v>47</v>
      </c>
      <c r="N152">
        <v>45</v>
      </c>
    </row>
    <row r="153" spans="1:14" x14ac:dyDescent="0.3">
      <c r="A153" t="s">
        <v>282</v>
      </c>
      <c r="B153" t="s">
        <v>414</v>
      </c>
      <c r="C153" t="s">
        <v>44</v>
      </c>
      <c r="D153" t="s">
        <v>62</v>
      </c>
      <c r="E153" t="s">
        <v>34</v>
      </c>
      <c r="F153" s="2">
        <v>1904</v>
      </c>
      <c r="G153" s="2">
        <v>4</v>
      </c>
      <c r="H153" s="2">
        <v>1</v>
      </c>
      <c r="I153" t="s">
        <v>35</v>
      </c>
      <c r="J153" t="s">
        <v>36</v>
      </c>
      <c r="K153" s="1">
        <v>45931</v>
      </c>
      <c r="L153" s="2" t="s">
        <v>283</v>
      </c>
      <c r="M153" t="s">
        <v>47</v>
      </c>
      <c r="N153">
        <v>49</v>
      </c>
    </row>
    <row r="154" spans="1:14" x14ac:dyDescent="0.3">
      <c r="A154" t="s">
        <v>284</v>
      </c>
      <c r="B154" t="s">
        <v>43</v>
      </c>
      <c r="C154" t="s">
        <v>54</v>
      </c>
      <c r="D154" t="s">
        <v>62</v>
      </c>
      <c r="E154" t="s">
        <v>46</v>
      </c>
      <c r="F154" s="2">
        <v>1465</v>
      </c>
      <c r="G154" s="2">
        <v>3</v>
      </c>
      <c r="H154" s="2">
        <v>5</v>
      </c>
      <c r="I154" t="s">
        <v>35</v>
      </c>
      <c r="J154" t="s">
        <v>41</v>
      </c>
      <c r="K154" s="1">
        <v>45734</v>
      </c>
      <c r="L154" s="2" t="s">
        <v>285</v>
      </c>
      <c r="M154" t="s">
        <v>55</v>
      </c>
      <c r="N154">
        <v>49</v>
      </c>
    </row>
    <row r="155" spans="1:14" x14ac:dyDescent="0.3">
      <c r="A155" t="s">
        <v>286</v>
      </c>
      <c r="B155" t="s">
        <v>43</v>
      </c>
      <c r="C155" t="s">
        <v>56</v>
      </c>
      <c r="D155" t="s">
        <v>33</v>
      </c>
      <c r="E155" t="s">
        <v>57</v>
      </c>
      <c r="F155" s="2">
        <v>1708</v>
      </c>
      <c r="G155" s="2">
        <v>4</v>
      </c>
      <c r="H155" s="2">
        <v>5</v>
      </c>
      <c r="I155" t="s">
        <v>35</v>
      </c>
      <c r="J155" t="s">
        <v>41</v>
      </c>
      <c r="K155" s="1">
        <v>45746</v>
      </c>
      <c r="L155" s="2" t="s">
        <v>499</v>
      </c>
      <c r="M155" t="s">
        <v>47</v>
      </c>
      <c r="N155">
        <v>49</v>
      </c>
    </row>
    <row r="156" spans="1:14" x14ac:dyDescent="0.3">
      <c r="A156" t="s">
        <v>287</v>
      </c>
      <c r="B156" t="s">
        <v>416</v>
      </c>
      <c r="C156" t="s">
        <v>32</v>
      </c>
      <c r="D156" t="s">
        <v>33</v>
      </c>
      <c r="E156" t="s">
        <v>49</v>
      </c>
      <c r="F156" s="2">
        <v>1615</v>
      </c>
      <c r="G156" s="2">
        <v>2</v>
      </c>
      <c r="H156" s="2">
        <v>5</v>
      </c>
      <c r="I156" t="s">
        <v>51</v>
      </c>
      <c r="J156" t="s">
        <v>36</v>
      </c>
      <c r="K156" s="1">
        <v>45771</v>
      </c>
      <c r="L156" s="2" t="s">
        <v>288</v>
      </c>
      <c r="M156" t="s">
        <v>55</v>
      </c>
      <c r="N156">
        <v>29</v>
      </c>
    </row>
    <row r="157" spans="1:14" x14ac:dyDescent="0.3">
      <c r="A157" t="s">
        <v>289</v>
      </c>
      <c r="B157" t="s">
        <v>58</v>
      </c>
      <c r="C157" t="s">
        <v>38</v>
      </c>
      <c r="D157" t="s">
        <v>48</v>
      </c>
      <c r="E157" t="s">
        <v>49</v>
      </c>
      <c r="F157" s="2">
        <v>639</v>
      </c>
      <c r="G157" s="2">
        <v>3</v>
      </c>
      <c r="H157" s="2">
        <v>5</v>
      </c>
      <c r="I157" t="s">
        <v>40</v>
      </c>
      <c r="J157" t="s">
        <v>41</v>
      </c>
      <c r="K157" s="1">
        <v>45659</v>
      </c>
      <c r="L157" s="2" t="s">
        <v>500</v>
      </c>
      <c r="M157" t="s">
        <v>47</v>
      </c>
      <c r="N157">
        <v>41</v>
      </c>
    </row>
    <row r="158" spans="1:14" x14ac:dyDescent="0.3">
      <c r="A158" t="s">
        <v>290</v>
      </c>
      <c r="B158" t="s">
        <v>416</v>
      </c>
      <c r="C158" t="s">
        <v>32</v>
      </c>
      <c r="D158" t="s">
        <v>33</v>
      </c>
      <c r="E158" t="s">
        <v>57</v>
      </c>
      <c r="F158" s="2">
        <v>2769</v>
      </c>
      <c r="G158" s="2">
        <v>3</v>
      </c>
      <c r="H158" s="2">
        <v>2</v>
      </c>
      <c r="I158" t="s">
        <v>51</v>
      </c>
      <c r="J158" t="s">
        <v>53</v>
      </c>
      <c r="K158" s="1">
        <v>45706</v>
      </c>
      <c r="L158" s="2" t="s">
        <v>501</v>
      </c>
      <c r="M158" t="s">
        <v>47</v>
      </c>
      <c r="N158">
        <v>49</v>
      </c>
    </row>
    <row r="159" spans="1:14" x14ac:dyDescent="0.3">
      <c r="A159" t="s">
        <v>291</v>
      </c>
      <c r="B159" t="s">
        <v>414</v>
      </c>
      <c r="C159" t="s">
        <v>50</v>
      </c>
      <c r="D159" t="s">
        <v>48</v>
      </c>
      <c r="E159" t="s">
        <v>34</v>
      </c>
      <c r="F159" s="2">
        <v>1550</v>
      </c>
      <c r="G159" s="2">
        <v>4</v>
      </c>
      <c r="H159" s="2">
        <v>3</v>
      </c>
      <c r="I159" t="s">
        <v>40</v>
      </c>
      <c r="J159" t="s">
        <v>36</v>
      </c>
      <c r="K159" s="1">
        <v>45774</v>
      </c>
      <c r="L159" s="2" t="s">
        <v>292</v>
      </c>
      <c r="M159" t="s">
        <v>55</v>
      </c>
      <c r="N159">
        <v>49</v>
      </c>
    </row>
    <row r="160" spans="1:14" x14ac:dyDescent="0.3">
      <c r="A160" t="s">
        <v>293</v>
      </c>
      <c r="B160" t="s">
        <v>43</v>
      </c>
      <c r="C160" t="s">
        <v>38</v>
      </c>
      <c r="D160" t="s">
        <v>52</v>
      </c>
      <c r="E160" t="s">
        <v>59</v>
      </c>
      <c r="F160" s="2">
        <v>1102</v>
      </c>
      <c r="G160" s="2">
        <v>1</v>
      </c>
      <c r="H160" s="2">
        <v>5</v>
      </c>
      <c r="I160" t="s">
        <v>51</v>
      </c>
      <c r="J160" t="s">
        <v>41</v>
      </c>
      <c r="K160" s="1">
        <v>45995</v>
      </c>
      <c r="L160" s="2" t="s">
        <v>294</v>
      </c>
      <c r="M160" t="s">
        <v>55</v>
      </c>
      <c r="N160">
        <v>45</v>
      </c>
    </row>
    <row r="161" spans="1:14" x14ac:dyDescent="0.3">
      <c r="A161" t="s">
        <v>295</v>
      </c>
      <c r="B161" t="s">
        <v>415</v>
      </c>
      <c r="C161" t="s">
        <v>38</v>
      </c>
      <c r="D161" t="s">
        <v>62</v>
      </c>
      <c r="E161" t="s">
        <v>46</v>
      </c>
      <c r="F161" s="2">
        <v>2243</v>
      </c>
      <c r="G161" s="2">
        <v>3</v>
      </c>
      <c r="H161" s="2">
        <v>3</v>
      </c>
      <c r="I161" t="s">
        <v>51</v>
      </c>
      <c r="J161" t="s">
        <v>36</v>
      </c>
      <c r="K161" s="1">
        <v>45687</v>
      </c>
      <c r="L161" s="2" t="s">
        <v>502</v>
      </c>
      <c r="M161" t="s">
        <v>55</v>
      </c>
      <c r="N161">
        <v>64</v>
      </c>
    </row>
    <row r="162" spans="1:14" x14ac:dyDescent="0.3">
      <c r="A162" t="s">
        <v>296</v>
      </c>
      <c r="B162" t="s">
        <v>58</v>
      </c>
      <c r="C162" t="s">
        <v>54</v>
      </c>
      <c r="D162" t="s">
        <v>45</v>
      </c>
      <c r="E162" t="s">
        <v>46</v>
      </c>
      <c r="F162" s="2">
        <v>1550</v>
      </c>
      <c r="G162" s="2">
        <v>4</v>
      </c>
      <c r="H162" s="2">
        <v>3</v>
      </c>
      <c r="I162" t="s">
        <v>61</v>
      </c>
      <c r="J162" t="s">
        <v>36</v>
      </c>
      <c r="K162" s="1">
        <v>45746</v>
      </c>
      <c r="L162" s="2" t="s">
        <v>297</v>
      </c>
      <c r="M162" t="s">
        <v>55</v>
      </c>
      <c r="N162">
        <v>49</v>
      </c>
    </row>
    <row r="163" spans="1:14" x14ac:dyDescent="0.3">
      <c r="A163" t="s">
        <v>298</v>
      </c>
      <c r="B163" t="s">
        <v>414</v>
      </c>
      <c r="C163" t="s">
        <v>38</v>
      </c>
      <c r="D163" t="s">
        <v>62</v>
      </c>
      <c r="E163" t="s">
        <v>59</v>
      </c>
      <c r="F163" s="2">
        <v>2224</v>
      </c>
      <c r="G163" s="2">
        <v>4</v>
      </c>
      <c r="H163" s="2">
        <v>5</v>
      </c>
      <c r="I163" t="s">
        <v>51</v>
      </c>
      <c r="J163" t="s">
        <v>53</v>
      </c>
      <c r="K163" s="1">
        <v>45701</v>
      </c>
      <c r="L163" s="2" t="s">
        <v>503</v>
      </c>
      <c r="M163" t="s">
        <v>47</v>
      </c>
      <c r="N163">
        <v>46</v>
      </c>
    </row>
    <row r="164" spans="1:14" x14ac:dyDescent="0.3">
      <c r="A164" t="s">
        <v>299</v>
      </c>
      <c r="B164" t="s">
        <v>43</v>
      </c>
      <c r="C164" t="s">
        <v>50</v>
      </c>
      <c r="D164" t="s">
        <v>48</v>
      </c>
      <c r="E164" t="s">
        <v>46</v>
      </c>
      <c r="F164" s="2">
        <v>1872</v>
      </c>
      <c r="G164" s="2">
        <v>3</v>
      </c>
      <c r="H164" s="2">
        <v>4</v>
      </c>
      <c r="I164" t="s">
        <v>35</v>
      </c>
      <c r="J164" t="s">
        <v>36</v>
      </c>
      <c r="K164" s="1">
        <v>45676</v>
      </c>
      <c r="L164" s="2" t="s">
        <v>504</v>
      </c>
      <c r="M164" t="s">
        <v>55</v>
      </c>
      <c r="N164">
        <v>49</v>
      </c>
    </row>
    <row r="165" spans="1:14" x14ac:dyDescent="0.3">
      <c r="A165" t="s">
        <v>300</v>
      </c>
      <c r="B165" t="s">
        <v>63</v>
      </c>
      <c r="C165" t="s">
        <v>44</v>
      </c>
      <c r="D165" t="s">
        <v>33</v>
      </c>
      <c r="E165" t="s">
        <v>49</v>
      </c>
      <c r="F165" s="2">
        <v>2430</v>
      </c>
      <c r="G165" s="2">
        <v>3</v>
      </c>
      <c r="H165" s="2">
        <v>2</v>
      </c>
      <c r="I165" t="s">
        <v>51</v>
      </c>
      <c r="J165" t="s">
        <v>36</v>
      </c>
      <c r="K165" s="1">
        <v>45771</v>
      </c>
      <c r="L165" s="2" t="s">
        <v>505</v>
      </c>
      <c r="M165" t="s">
        <v>47</v>
      </c>
      <c r="N165">
        <v>45</v>
      </c>
    </row>
    <row r="166" spans="1:14" x14ac:dyDescent="0.3">
      <c r="A166" t="s">
        <v>301</v>
      </c>
      <c r="B166" t="s">
        <v>416</v>
      </c>
      <c r="C166" t="s">
        <v>56</v>
      </c>
      <c r="D166" t="s">
        <v>48</v>
      </c>
      <c r="E166" t="s">
        <v>46</v>
      </c>
      <c r="F166" s="2">
        <v>2918</v>
      </c>
      <c r="G166" s="2">
        <v>3</v>
      </c>
      <c r="H166" s="2">
        <v>3</v>
      </c>
      <c r="I166" t="s">
        <v>61</v>
      </c>
      <c r="J166" t="s">
        <v>41</v>
      </c>
      <c r="K166" s="1">
        <v>45690</v>
      </c>
      <c r="L166" s="2" t="s">
        <v>506</v>
      </c>
      <c r="M166" t="s">
        <v>55</v>
      </c>
      <c r="N166">
        <v>88</v>
      </c>
    </row>
    <row r="167" spans="1:14" x14ac:dyDescent="0.3">
      <c r="A167" t="s">
        <v>302</v>
      </c>
      <c r="B167" t="s">
        <v>416</v>
      </c>
      <c r="C167" t="s">
        <v>32</v>
      </c>
      <c r="D167" t="s">
        <v>52</v>
      </c>
      <c r="E167" t="s">
        <v>57</v>
      </c>
      <c r="F167" s="2">
        <v>1550</v>
      </c>
      <c r="G167" s="2">
        <v>1</v>
      </c>
      <c r="H167" s="2">
        <v>4</v>
      </c>
      <c r="I167" t="s">
        <v>61</v>
      </c>
      <c r="J167" t="s">
        <v>41</v>
      </c>
      <c r="K167" s="1">
        <v>45994</v>
      </c>
      <c r="L167" s="2" t="s">
        <v>303</v>
      </c>
      <c r="M167" t="s">
        <v>55</v>
      </c>
      <c r="N167">
        <v>49</v>
      </c>
    </row>
    <row r="168" spans="1:14" x14ac:dyDescent="0.3">
      <c r="A168" t="s">
        <v>304</v>
      </c>
      <c r="B168" t="s">
        <v>43</v>
      </c>
      <c r="C168" t="s">
        <v>50</v>
      </c>
      <c r="D168" t="s">
        <v>45</v>
      </c>
      <c r="E168" t="s">
        <v>57</v>
      </c>
      <c r="F168" s="2">
        <v>1550</v>
      </c>
      <c r="G168" s="2">
        <v>2</v>
      </c>
      <c r="H168" s="2">
        <v>2</v>
      </c>
      <c r="I168" t="s">
        <v>61</v>
      </c>
      <c r="J168" t="s">
        <v>41</v>
      </c>
      <c r="K168" s="1">
        <v>45965</v>
      </c>
      <c r="L168" s="2" t="s">
        <v>507</v>
      </c>
      <c r="M168" t="s">
        <v>55</v>
      </c>
      <c r="N168">
        <v>45</v>
      </c>
    </row>
    <row r="169" spans="1:14" x14ac:dyDescent="0.3">
      <c r="A169" t="s">
        <v>305</v>
      </c>
      <c r="B169" t="s">
        <v>416</v>
      </c>
      <c r="C169" t="s">
        <v>54</v>
      </c>
      <c r="D169" t="s">
        <v>33</v>
      </c>
      <c r="E169" t="s">
        <v>34</v>
      </c>
      <c r="F169" s="2">
        <v>1055</v>
      </c>
      <c r="G169" s="2">
        <v>3</v>
      </c>
      <c r="H169" s="2">
        <v>3</v>
      </c>
      <c r="I169" t="s">
        <v>51</v>
      </c>
      <c r="J169" t="s">
        <v>53</v>
      </c>
      <c r="K169" s="1">
        <v>45759</v>
      </c>
      <c r="L169" s="2" t="s">
        <v>508</v>
      </c>
      <c r="M169" t="s">
        <v>47</v>
      </c>
      <c r="N169">
        <v>68</v>
      </c>
    </row>
    <row r="170" spans="1:14" x14ac:dyDescent="0.3">
      <c r="A170" t="s">
        <v>306</v>
      </c>
      <c r="B170" t="s">
        <v>416</v>
      </c>
      <c r="C170" t="s">
        <v>32</v>
      </c>
      <c r="D170" t="s">
        <v>33</v>
      </c>
      <c r="E170" t="s">
        <v>57</v>
      </c>
      <c r="F170" s="2">
        <v>721</v>
      </c>
      <c r="G170" s="2">
        <v>2</v>
      </c>
      <c r="H170" s="2">
        <v>5</v>
      </c>
      <c r="I170" t="s">
        <v>61</v>
      </c>
      <c r="J170" t="s">
        <v>36</v>
      </c>
      <c r="K170" s="1">
        <v>45742</v>
      </c>
      <c r="L170" s="2" t="s">
        <v>509</v>
      </c>
      <c r="M170" t="s">
        <v>55</v>
      </c>
      <c r="N170">
        <v>49</v>
      </c>
    </row>
    <row r="171" spans="1:14" x14ac:dyDescent="0.3">
      <c r="A171" t="s">
        <v>307</v>
      </c>
      <c r="B171" t="s">
        <v>415</v>
      </c>
      <c r="C171" t="s">
        <v>38</v>
      </c>
      <c r="D171" t="s">
        <v>48</v>
      </c>
      <c r="E171" t="s">
        <v>57</v>
      </c>
      <c r="F171" s="2">
        <v>549</v>
      </c>
      <c r="G171" s="2">
        <v>5</v>
      </c>
      <c r="H171" s="2">
        <v>1</v>
      </c>
      <c r="I171" t="s">
        <v>51</v>
      </c>
      <c r="J171" t="s">
        <v>53</v>
      </c>
      <c r="K171" s="1">
        <v>45697</v>
      </c>
      <c r="L171" s="2" t="s">
        <v>308</v>
      </c>
      <c r="M171" t="s">
        <v>55</v>
      </c>
      <c r="N171">
        <v>49</v>
      </c>
    </row>
    <row r="172" spans="1:14" x14ac:dyDescent="0.3">
      <c r="A172" t="s">
        <v>309</v>
      </c>
      <c r="B172" t="s">
        <v>37</v>
      </c>
      <c r="C172" t="s">
        <v>56</v>
      </c>
      <c r="D172" t="s">
        <v>33</v>
      </c>
      <c r="E172" t="s">
        <v>46</v>
      </c>
      <c r="F172" s="2">
        <v>506</v>
      </c>
      <c r="G172" s="2">
        <v>2</v>
      </c>
      <c r="H172" s="2">
        <v>3</v>
      </c>
      <c r="I172" t="s">
        <v>51</v>
      </c>
      <c r="J172" t="s">
        <v>41</v>
      </c>
      <c r="K172" s="1">
        <v>45734</v>
      </c>
      <c r="L172" s="2" t="s">
        <v>310</v>
      </c>
      <c r="M172" t="s">
        <v>55</v>
      </c>
      <c r="N172">
        <v>49</v>
      </c>
    </row>
    <row r="173" spans="1:14" x14ac:dyDescent="0.3">
      <c r="A173" t="s">
        <v>311</v>
      </c>
      <c r="B173" t="s">
        <v>63</v>
      </c>
      <c r="C173" t="s">
        <v>56</v>
      </c>
      <c r="D173" t="s">
        <v>62</v>
      </c>
      <c r="E173" t="s">
        <v>49</v>
      </c>
      <c r="F173" s="2">
        <v>2973</v>
      </c>
      <c r="G173" s="2">
        <v>4</v>
      </c>
      <c r="H173" s="2">
        <v>3</v>
      </c>
      <c r="I173" t="s">
        <v>40</v>
      </c>
      <c r="J173" t="s">
        <v>41</v>
      </c>
      <c r="K173" s="1">
        <v>45681</v>
      </c>
      <c r="L173" s="2" t="s">
        <v>510</v>
      </c>
      <c r="M173" t="s">
        <v>55</v>
      </c>
      <c r="N173">
        <v>45</v>
      </c>
    </row>
    <row r="174" spans="1:14" x14ac:dyDescent="0.3">
      <c r="A174" t="s">
        <v>312</v>
      </c>
      <c r="B174" t="s">
        <v>414</v>
      </c>
      <c r="C174" t="s">
        <v>32</v>
      </c>
      <c r="D174" t="s">
        <v>48</v>
      </c>
      <c r="E174" t="s">
        <v>34</v>
      </c>
      <c r="F174" s="2">
        <v>655</v>
      </c>
      <c r="G174" s="2">
        <v>3</v>
      </c>
      <c r="H174" s="2">
        <v>4</v>
      </c>
      <c r="I174" t="s">
        <v>51</v>
      </c>
      <c r="J174" t="s">
        <v>36</v>
      </c>
      <c r="K174" s="1">
        <v>45773</v>
      </c>
      <c r="L174" s="2" t="s">
        <v>511</v>
      </c>
      <c r="M174" t="s">
        <v>55</v>
      </c>
      <c r="N174">
        <v>45</v>
      </c>
    </row>
    <row r="175" spans="1:14" x14ac:dyDescent="0.3">
      <c r="A175" t="s">
        <v>313</v>
      </c>
      <c r="B175" t="s">
        <v>416</v>
      </c>
      <c r="C175" t="s">
        <v>50</v>
      </c>
      <c r="D175" t="s">
        <v>62</v>
      </c>
      <c r="E175" t="s">
        <v>59</v>
      </c>
      <c r="F175" s="2">
        <v>859</v>
      </c>
      <c r="G175" s="2">
        <v>1</v>
      </c>
      <c r="H175" s="2">
        <v>5</v>
      </c>
      <c r="I175" t="s">
        <v>40</v>
      </c>
      <c r="J175" t="s">
        <v>41</v>
      </c>
      <c r="K175" s="1">
        <v>45711</v>
      </c>
      <c r="L175" s="2" t="s">
        <v>314</v>
      </c>
      <c r="M175" t="s">
        <v>47</v>
      </c>
      <c r="N175">
        <v>49</v>
      </c>
    </row>
    <row r="176" spans="1:14" x14ac:dyDescent="0.3">
      <c r="A176" t="s">
        <v>315</v>
      </c>
      <c r="B176" t="s">
        <v>63</v>
      </c>
      <c r="C176" t="s">
        <v>56</v>
      </c>
      <c r="D176" t="s">
        <v>45</v>
      </c>
      <c r="E176" t="s">
        <v>59</v>
      </c>
      <c r="F176" s="2">
        <v>2439</v>
      </c>
      <c r="G176" s="2">
        <v>4</v>
      </c>
      <c r="H176" s="2">
        <v>3</v>
      </c>
      <c r="I176" t="s">
        <v>35</v>
      </c>
      <c r="J176" t="s">
        <v>36</v>
      </c>
      <c r="K176" s="1">
        <v>45701</v>
      </c>
      <c r="L176" s="2" t="s">
        <v>316</v>
      </c>
      <c r="M176" t="s">
        <v>47</v>
      </c>
      <c r="N176">
        <v>49</v>
      </c>
    </row>
    <row r="177" spans="1:14" x14ac:dyDescent="0.3">
      <c r="A177" t="s">
        <v>317</v>
      </c>
      <c r="B177" t="s">
        <v>43</v>
      </c>
      <c r="C177" t="s">
        <v>44</v>
      </c>
      <c r="D177" t="s">
        <v>39</v>
      </c>
      <c r="E177" t="s">
        <v>59</v>
      </c>
      <c r="F177" s="2">
        <v>1550</v>
      </c>
      <c r="G177" s="2">
        <v>3</v>
      </c>
      <c r="H177" s="2">
        <v>3</v>
      </c>
      <c r="I177" t="s">
        <v>35</v>
      </c>
      <c r="J177" t="s">
        <v>36</v>
      </c>
      <c r="K177" s="1">
        <v>45760</v>
      </c>
      <c r="L177" s="2" t="s">
        <v>318</v>
      </c>
      <c r="M177" t="s">
        <v>55</v>
      </c>
      <c r="N177">
        <v>45</v>
      </c>
    </row>
    <row r="178" spans="1:14" x14ac:dyDescent="0.3">
      <c r="A178" t="s">
        <v>319</v>
      </c>
      <c r="B178" t="s">
        <v>414</v>
      </c>
      <c r="C178" t="s">
        <v>38</v>
      </c>
      <c r="D178" t="s">
        <v>62</v>
      </c>
      <c r="E178" t="s">
        <v>59</v>
      </c>
      <c r="F178" s="2">
        <v>1550</v>
      </c>
      <c r="G178" s="2">
        <v>1</v>
      </c>
      <c r="H178" s="2">
        <v>3</v>
      </c>
      <c r="I178" t="s">
        <v>40</v>
      </c>
      <c r="J178" t="s">
        <v>53</v>
      </c>
      <c r="K178" s="1">
        <v>45695</v>
      </c>
      <c r="L178" s="2" t="s">
        <v>320</v>
      </c>
      <c r="M178" t="s">
        <v>55</v>
      </c>
      <c r="N178">
        <v>45</v>
      </c>
    </row>
    <row r="179" spans="1:14" x14ac:dyDescent="0.3">
      <c r="A179" t="s">
        <v>321</v>
      </c>
      <c r="B179" t="s">
        <v>63</v>
      </c>
      <c r="C179" t="s">
        <v>32</v>
      </c>
      <c r="D179" t="s">
        <v>52</v>
      </c>
      <c r="E179" t="s">
        <v>49</v>
      </c>
      <c r="F179" s="2">
        <v>1550</v>
      </c>
      <c r="G179" s="2">
        <v>5</v>
      </c>
      <c r="H179" s="2">
        <v>1</v>
      </c>
      <c r="I179" t="s">
        <v>40</v>
      </c>
      <c r="J179" t="s">
        <v>53</v>
      </c>
      <c r="K179" s="1">
        <v>45702</v>
      </c>
      <c r="L179" s="2" t="s">
        <v>322</v>
      </c>
      <c r="M179" t="s">
        <v>55</v>
      </c>
      <c r="N179">
        <v>45</v>
      </c>
    </row>
    <row r="180" spans="1:14" x14ac:dyDescent="0.3">
      <c r="A180" t="s">
        <v>323</v>
      </c>
      <c r="B180" t="s">
        <v>63</v>
      </c>
      <c r="C180" t="s">
        <v>32</v>
      </c>
      <c r="D180" t="s">
        <v>33</v>
      </c>
      <c r="E180" t="s">
        <v>46</v>
      </c>
      <c r="F180" s="2">
        <v>1612</v>
      </c>
      <c r="G180" s="2">
        <v>2</v>
      </c>
      <c r="H180" s="2">
        <v>3</v>
      </c>
      <c r="I180" t="s">
        <v>61</v>
      </c>
      <c r="J180" t="s">
        <v>41</v>
      </c>
      <c r="K180" s="1">
        <v>45660</v>
      </c>
      <c r="L180" s="2" t="s">
        <v>324</v>
      </c>
      <c r="M180" t="s">
        <v>47</v>
      </c>
      <c r="N180">
        <v>45</v>
      </c>
    </row>
    <row r="181" spans="1:14" x14ac:dyDescent="0.3">
      <c r="A181" t="s">
        <v>325</v>
      </c>
      <c r="B181" t="s">
        <v>63</v>
      </c>
      <c r="C181" t="s">
        <v>56</v>
      </c>
      <c r="D181" t="s">
        <v>48</v>
      </c>
      <c r="E181" t="s">
        <v>59</v>
      </c>
      <c r="F181" s="2">
        <v>1928</v>
      </c>
      <c r="G181" s="2">
        <v>3</v>
      </c>
      <c r="H181" s="2">
        <v>5</v>
      </c>
      <c r="I181" t="s">
        <v>61</v>
      </c>
      <c r="J181" t="s">
        <v>36</v>
      </c>
      <c r="K181" s="1">
        <v>45771</v>
      </c>
      <c r="L181" s="2" t="s">
        <v>512</v>
      </c>
      <c r="M181" t="s">
        <v>47</v>
      </c>
      <c r="N181">
        <v>27</v>
      </c>
    </row>
    <row r="182" spans="1:14" x14ac:dyDescent="0.3">
      <c r="A182" t="s">
        <v>326</v>
      </c>
      <c r="B182" t="s">
        <v>416</v>
      </c>
      <c r="C182" t="s">
        <v>50</v>
      </c>
      <c r="D182" t="s">
        <v>33</v>
      </c>
      <c r="E182" t="s">
        <v>57</v>
      </c>
      <c r="F182" s="2">
        <v>670</v>
      </c>
      <c r="G182" s="2">
        <v>3</v>
      </c>
      <c r="H182" s="2">
        <v>3</v>
      </c>
      <c r="I182" t="s">
        <v>40</v>
      </c>
      <c r="J182" t="s">
        <v>36</v>
      </c>
      <c r="K182" s="1">
        <v>45715</v>
      </c>
      <c r="L182" s="2" t="s">
        <v>513</v>
      </c>
      <c r="M182" t="s">
        <v>47</v>
      </c>
      <c r="N182">
        <v>49</v>
      </c>
    </row>
    <row r="183" spans="1:14" x14ac:dyDescent="0.3">
      <c r="A183" t="s">
        <v>327</v>
      </c>
      <c r="B183" t="s">
        <v>415</v>
      </c>
      <c r="C183" t="s">
        <v>54</v>
      </c>
      <c r="D183" t="s">
        <v>52</v>
      </c>
      <c r="E183" t="s">
        <v>49</v>
      </c>
      <c r="F183" s="2">
        <v>1550</v>
      </c>
      <c r="G183" s="2">
        <v>1</v>
      </c>
      <c r="H183" s="2">
        <v>1</v>
      </c>
      <c r="I183" t="s">
        <v>35</v>
      </c>
      <c r="J183" t="s">
        <v>41</v>
      </c>
      <c r="K183" s="1">
        <v>45729</v>
      </c>
      <c r="L183" s="2" t="s">
        <v>328</v>
      </c>
      <c r="M183" t="s">
        <v>47</v>
      </c>
      <c r="N183">
        <v>45</v>
      </c>
    </row>
    <row r="184" spans="1:14" x14ac:dyDescent="0.3">
      <c r="A184" t="s">
        <v>329</v>
      </c>
      <c r="B184" t="s">
        <v>415</v>
      </c>
      <c r="C184" t="s">
        <v>56</v>
      </c>
      <c r="D184" t="s">
        <v>62</v>
      </c>
      <c r="E184" t="s">
        <v>59</v>
      </c>
      <c r="F184" s="2">
        <v>1023</v>
      </c>
      <c r="G184" s="2">
        <v>5</v>
      </c>
      <c r="H184" s="2">
        <v>3</v>
      </c>
      <c r="I184" t="s">
        <v>35</v>
      </c>
      <c r="J184" t="s">
        <v>36</v>
      </c>
      <c r="K184" s="1">
        <v>45724</v>
      </c>
      <c r="L184" s="2" t="s">
        <v>330</v>
      </c>
      <c r="M184" t="s">
        <v>55</v>
      </c>
      <c r="N184">
        <v>49</v>
      </c>
    </row>
    <row r="185" spans="1:14" x14ac:dyDescent="0.3">
      <c r="A185" t="s">
        <v>331</v>
      </c>
      <c r="B185" t="s">
        <v>43</v>
      </c>
      <c r="C185" t="s">
        <v>50</v>
      </c>
      <c r="D185" t="s">
        <v>62</v>
      </c>
      <c r="E185" t="s">
        <v>57</v>
      </c>
      <c r="F185" s="2">
        <v>844</v>
      </c>
      <c r="G185" s="2">
        <v>2</v>
      </c>
      <c r="H185" s="2">
        <v>5</v>
      </c>
      <c r="I185" t="s">
        <v>40</v>
      </c>
      <c r="J185" t="s">
        <v>41</v>
      </c>
      <c r="K185" s="1">
        <v>45753</v>
      </c>
      <c r="L185" s="2" t="s">
        <v>332</v>
      </c>
      <c r="M185" t="s">
        <v>47</v>
      </c>
      <c r="N185">
        <v>66</v>
      </c>
    </row>
    <row r="186" spans="1:14" x14ac:dyDescent="0.3">
      <c r="A186" t="s">
        <v>333</v>
      </c>
      <c r="B186" t="s">
        <v>63</v>
      </c>
      <c r="C186" t="s">
        <v>54</v>
      </c>
      <c r="D186" t="s">
        <v>52</v>
      </c>
      <c r="E186" t="s">
        <v>57</v>
      </c>
      <c r="F186" s="2">
        <v>1550</v>
      </c>
      <c r="G186" s="2">
        <v>1</v>
      </c>
      <c r="H186" s="2">
        <v>3</v>
      </c>
      <c r="I186" t="s">
        <v>40</v>
      </c>
      <c r="J186" t="s">
        <v>36</v>
      </c>
      <c r="K186" s="1">
        <v>45734</v>
      </c>
      <c r="L186" s="2" t="s">
        <v>334</v>
      </c>
      <c r="M186" t="s">
        <v>55</v>
      </c>
      <c r="N186">
        <v>49</v>
      </c>
    </row>
    <row r="187" spans="1:14" x14ac:dyDescent="0.3">
      <c r="A187" t="s">
        <v>335</v>
      </c>
      <c r="B187" t="s">
        <v>43</v>
      </c>
      <c r="C187" t="s">
        <v>54</v>
      </c>
      <c r="D187" t="s">
        <v>33</v>
      </c>
      <c r="E187" t="s">
        <v>46</v>
      </c>
      <c r="F187" s="2">
        <v>2621</v>
      </c>
      <c r="G187" s="2">
        <v>3</v>
      </c>
      <c r="H187" s="2">
        <v>4</v>
      </c>
      <c r="I187" t="s">
        <v>51</v>
      </c>
      <c r="J187" t="s">
        <v>53</v>
      </c>
      <c r="K187" s="1">
        <v>45719</v>
      </c>
      <c r="L187" s="2" t="s">
        <v>514</v>
      </c>
      <c r="M187" t="s">
        <v>55</v>
      </c>
      <c r="N187">
        <v>45</v>
      </c>
    </row>
    <row r="188" spans="1:14" x14ac:dyDescent="0.3">
      <c r="A188" t="s">
        <v>336</v>
      </c>
      <c r="B188" t="s">
        <v>416</v>
      </c>
      <c r="C188" t="s">
        <v>44</v>
      </c>
      <c r="D188" t="s">
        <v>45</v>
      </c>
      <c r="E188" t="s">
        <v>46</v>
      </c>
      <c r="F188" s="2">
        <v>491</v>
      </c>
      <c r="G188" s="2">
        <v>3</v>
      </c>
      <c r="H188" s="2">
        <v>3</v>
      </c>
      <c r="I188" t="s">
        <v>61</v>
      </c>
      <c r="J188" t="s">
        <v>36</v>
      </c>
      <c r="K188" s="1">
        <v>45764</v>
      </c>
      <c r="L188" s="2" t="s">
        <v>337</v>
      </c>
      <c r="M188" t="s">
        <v>47</v>
      </c>
      <c r="N188">
        <v>49</v>
      </c>
    </row>
    <row r="189" spans="1:14" x14ac:dyDescent="0.3">
      <c r="A189" t="s">
        <v>338</v>
      </c>
      <c r="B189" t="s">
        <v>58</v>
      </c>
      <c r="C189" t="s">
        <v>54</v>
      </c>
      <c r="D189" t="s">
        <v>33</v>
      </c>
      <c r="E189" t="s">
        <v>46</v>
      </c>
      <c r="F189" s="2">
        <v>1630</v>
      </c>
      <c r="G189" s="2">
        <v>3</v>
      </c>
      <c r="H189" s="2">
        <v>5</v>
      </c>
      <c r="I189" t="s">
        <v>35</v>
      </c>
      <c r="J189" t="s">
        <v>36</v>
      </c>
      <c r="K189" s="1">
        <v>45812</v>
      </c>
      <c r="L189" s="2" t="s">
        <v>515</v>
      </c>
      <c r="M189" t="s">
        <v>47</v>
      </c>
      <c r="N189">
        <v>84</v>
      </c>
    </row>
    <row r="190" spans="1:14" x14ac:dyDescent="0.3">
      <c r="A190" t="s">
        <v>339</v>
      </c>
      <c r="B190" t="s">
        <v>416</v>
      </c>
      <c r="C190" t="s">
        <v>50</v>
      </c>
      <c r="D190" t="s">
        <v>52</v>
      </c>
      <c r="E190" t="s">
        <v>49</v>
      </c>
      <c r="F190" s="2">
        <v>809</v>
      </c>
      <c r="G190" s="2">
        <v>4</v>
      </c>
      <c r="H190" s="2">
        <v>5</v>
      </c>
      <c r="I190" t="s">
        <v>35</v>
      </c>
      <c r="J190" t="s">
        <v>36</v>
      </c>
      <c r="K190" s="1">
        <v>45677</v>
      </c>
      <c r="L190" s="2" t="s">
        <v>340</v>
      </c>
      <c r="M190" t="s">
        <v>47</v>
      </c>
      <c r="N190">
        <v>49</v>
      </c>
    </row>
    <row r="191" spans="1:14" x14ac:dyDescent="0.3">
      <c r="A191" t="s">
        <v>341</v>
      </c>
      <c r="B191" t="s">
        <v>416</v>
      </c>
      <c r="C191" t="s">
        <v>32</v>
      </c>
      <c r="D191" t="s">
        <v>62</v>
      </c>
      <c r="E191" t="s">
        <v>49</v>
      </c>
      <c r="F191" s="2">
        <v>2133</v>
      </c>
      <c r="G191" s="2">
        <v>2</v>
      </c>
      <c r="H191" s="2">
        <v>3</v>
      </c>
      <c r="I191" t="s">
        <v>51</v>
      </c>
      <c r="J191" t="s">
        <v>53</v>
      </c>
      <c r="K191" s="1">
        <v>45733</v>
      </c>
      <c r="L191" s="2" t="s">
        <v>342</v>
      </c>
      <c r="M191" t="s">
        <v>55</v>
      </c>
      <c r="N191">
        <v>49</v>
      </c>
    </row>
    <row r="192" spans="1:14" x14ac:dyDescent="0.3">
      <c r="A192" t="s">
        <v>343</v>
      </c>
      <c r="B192" t="s">
        <v>414</v>
      </c>
      <c r="C192" t="s">
        <v>54</v>
      </c>
      <c r="D192" t="s">
        <v>52</v>
      </c>
      <c r="E192" t="s">
        <v>59</v>
      </c>
      <c r="F192" s="2">
        <v>2648</v>
      </c>
      <c r="G192" s="2">
        <v>3</v>
      </c>
      <c r="H192" s="2">
        <v>3</v>
      </c>
      <c r="I192" t="s">
        <v>51</v>
      </c>
      <c r="J192" t="s">
        <v>36</v>
      </c>
      <c r="K192" s="1">
        <v>45747</v>
      </c>
      <c r="L192" s="2" t="s">
        <v>516</v>
      </c>
      <c r="M192" t="s">
        <v>55</v>
      </c>
      <c r="N192">
        <v>49</v>
      </c>
    </row>
    <row r="193" spans="1:14" x14ac:dyDescent="0.3">
      <c r="A193" t="s">
        <v>344</v>
      </c>
      <c r="B193" t="s">
        <v>415</v>
      </c>
      <c r="C193" t="s">
        <v>54</v>
      </c>
      <c r="D193" t="s">
        <v>39</v>
      </c>
      <c r="E193" t="s">
        <v>46</v>
      </c>
      <c r="F193" s="2">
        <v>806</v>
      </c>
      <c r="G193" s="2">
        <v>1</v>
      </c>
      <c r="H193" s="2">
        <v>3</v>
      </c>
      <c r="I193" t="s">
        <v>61</v>
      </c>
      <c r="J193" t="s">
        <v>36</v>
      </c>
      <c r="K193" s="1">
        <v>45686</v>
      </c>
      <c r="L193" s="2" t="s">
        <v>345</v>
      </c>
      <c r="M193" t="s">
        <v>55</v>
      </c>
      <c r="N193">
        <v>45</v>
      </c>
    </row>
    <row r="194" spans="1:14" x14ac:dyDescent="0.3">
      <c r="A194" t="s">
        <v>346</v>
      </c>
      <c r="B194" t="s">
        <v>58</v>
      </c>
      <c r="C194" t="s">
        <v>50</v>
      </c>
      <c r="D194" t="s">
        <v>45</v>
      </c>
      <c r="E194" t="s">
        <v>34</v>
      </c>
      <c r="F194" s="2">
        <v>1692</v>
      </c>
      <c r="G194" s="2">
        <v>3</v>
      </c>
      <c r="H194" s="2">
        <v>1</v>
      </c>
      <c r="I194" t="s">
        <v>40</v>
      </c>
      <c r="J194" t="s">
        <v>53</v>
      </c>
      <c r="K194" s="1">
        <v>45769</v>
      </c>
      <c r="L194" s="2" t="s">
        <v>517</v>
      </c>
      <c r="M194" t="s">
        <v>55</v>
      </c>
      <c r="N194">
        <v>49</v>
      </c>
    </row>
    <row r="195" spans="1:14" x14ac:dyDescent="0.3">
      <c r="A195" t="s">
        <v>347</v>
      </c>
      <c r="B195" t="s">
        <v>416</v>
      </c>
      <c r="C195" t="s">
        <v>44</v>
      </c>
      <c r="D195" t="s">
        <v>39</v>
      </c>
      <c r="E195" t="s">
        <v>46</v>
      </c>
      <c r="F195" s="2">
        <v>2163</v>
      </c>
      <c r="G195" s="2">
        <v>2</v>
      </c>
      <c r="H195" s="2">
        <v>5</v>
      </c>
      <c r="I195" t="s">
        <v>35</v>
      </c>
      <c r="J195" t="s">
        <v>41</v>
      </c>
      <c r="K195" s="1">
        <v>45739</v>
      </c>
      <c r="L195" s="2" t="s">
        <v>348</v>
      </c>
      <c r="M195" t="s">
        <v>55</v>
      </c>
      <c r="N195">
        <v>49</v>
      </c>
    </row>
    <row r="196" spans="1:14" x14ac:dyDescent="0.3">
      <c r="A196" t="s">
        <v>349</v>
      </c>
      <c r="B196" t="s">
        <v>43</v>
      </c>
      <c r="C196" t="s">
        <v>38</v>
      </c>
      <c r="D196" t="s">
        <v>45</v>
      </c>
      <c r="E196" t="s">
        <v>59</v>
      </c>
      <c r="F196" s="2">
        <v>904</v>
      </c>
      <c r="G196" s="2">
        <v>3</v>
      </c>
      <c r="H196" s="2">
        <v>5</v>
      </c>
      <c r="I196" t="s">
        <v>35</v>
      </c>
      <c r="J196" t="s">
        <v>41</v>
      </c>
      <c r="K196" s="1">
        <v>45711</v>
      </c>
      <c r="L196" s="2" t="s">
        <v>518</v>
      </c>
      <c r="M196" t="s">
        <v>47</v>
      </c>
      <c r="N196">
        <v>49</v>
      </c>
    </row>
    <row r="197" spans="1:14" x14ac:dyDescent="0.3">
      <c r="A197" t="s">
        <v>350</v>
      </c>
      <c r="B197" t="s">
        <v>37</v>
      </c>
      <c r="C197" t="s">
        <v>44</v>
      </c>
      <c r="D197" t="s">
        <v>52</v>
      </c>
      <c r="E197" t="s">
        <v>59</v>
      </c>
      <c r="F197" s="2">
        <v>494</v>
      </c>
      <c r="G197" s="2">
        <v>5</v>
      </c>
      <c r="H197" s="2">
        <v>5</v>
      </c>
      <c r="I197" t="s">
        <v>35</v>
      </c>
      <c r="J197" t="s">
        <v>53</v>
      </c>
      <c r="K197" s="1">
        <v>45678</v>
      </c>
      <c r="L197" s="2" t="s">
        <v>351</v>
      </c>
      <c r="M197" t="s">
        <v>47</v>
      </c>
      <c r="N197">
        <v>66</v>
      </c>
    </row>
    <row r="198" spans="1:14" x14ac:dyDescent="0.3">
      <c r="A198" t="s">
        <v>352</v>
      </c>
      <c r="B198" t="s">
        <v>58</v>
      </c>
      <c r="C198" t="s">
        <v>38</v>
      </c>
      <c r="D198" t="s">
        <v>33</v>
      </c>
      <c r="E198" t="s">
        <v>57</v>
      </c>
      <c r="F198" s="2">
        <v>2520</v>
      </c>
      <c r="G198" s="2">
        <v>1</v>
      </c>
      <c r="H198" s="2">
        <v>3</v>
      </c>
      <c r="I198" t="s">
        <v>61</v>
      </c>
      <c r="J198" t="s">
        <v>53</v>
      </c>
      <c r="K198" s="1">
        <v>45768</v>
      </c>
      <c r="L198" s="2" t="s">
        <v>519</v>
      </c>
      <c r="M198" t="s">
        <v>55</v>
      </c>
      <c r="N198">
        <v>49</v>
      </c>
    </row>
    <row r="199" spans="1:14" x14ac:dyDescent="0.3">
      <c r="A199" t="s">
        <v>353</v>
      </c>
      <c r="B199" t="s">
        <v>37</v>
      </c>
      <c r="C199" t="s">
        <v>54</v>
      </c>
      <c r="D199" t="s">
        <v>48</v>
      </c>
      <c r="E199" t="s">
        <v>59</v>
      </c>
      <c r="F199" s="2">
        <v>635</v>
      </c>
      <c r="G199" s="2">
        <v>2</v>
      </c>
      <c r="H199" s="2">
        <v>2</v>
      </c>
      <c r="I199" t="s">
        <v>61</v>
      </c>
      <c r="J199" t="s">
        <v>36</v>
      </c>
      <c r="K199" s="1">
        <v>45694</v>
      </c>
      <c r="L199" s="2" t="s">
        <v>354</v>
      </c>
      <c r="M199" t="s">
        <v>47</v>
      </c>
      <c r="N199">
        <v>49</v>
      </c>
    </row>
    <row r="200" spans="1:14" x14ac:dyDescent="0.3">
      <c r="A200" t="s">
        <v>355</v>
      </c>
      <c r="B200" t="s">
        <v>58</v>
      </c>
      <c r="C200" t="s">
        <v>50</v>
      </c>
      <c r="D200" t="s">
        <v>45</v>
      </c>
      <c r="E200" t="s">
        <v>46</v>
      </c>
      <c r="F200" s="2">
        <v>1442</v>
      </c>
      <c r="G200" s="2">
        <v>3</v>
      </c>
      <c r="H200" s="2">
        <v>5</v>
      </c>
      <c r="I200" t="s">
        <v>35</v>
      </c>
      <c r="J200" t="s">
        <v>41</v>
      </c>
      <c r="K200" s="1">
        <v>45690</v>
      </c>
      <c r="L200" s="2" t="s">
        <v>356</v>
      </c>
      <c r="M200" t="s">
        <v>47</v>
      </c>
      <c r="N200">
        <v>49</v>
      </c>
    </row>
    <row r="201" spans="1:14" x14ac:dyDescent="0.3">
      <c r="A201" t="s">
        <v>357</v>
      </c>
      <c r="B201" t="s">
        <v>415</v>
      </c>
      <c r="C201" t="s">
        <v>54</v>
      </c>
      <c r="D201" t="s">
        <v>39</v>
      </c>
      <c r="E201" t="s">
        <v>49</v>
      </c>
      <c r="F201" s="2">
        <v>1662</v>
      </c>
      <c r="G201" s="2">
        <v>2</v>
      </c>
      <c r="H201" s="2">
        <v>5</v>
      </c>
      <c r="I201" t="s">
        <v>51</v>
      </c>
      <c r="J201" t="s">
        <v>36</v>
      </c>
      <c r="K201" s="1">
        <v>45728</v>
      </c>
      <c r="L201" s="2" t="s">
        <v>520</v>
      </c>
      <c r="M201" t="s">
        <v>55</v>
      </c>
      <c r="N201">
        <v>45</v>
      </c>
    </row>
    <row r="202" spans="1:14" x14ac:dyDescent="0.3">
      <c r="A202" t="s">
        <v>358</v>
      </c>
      <c r="B202" t="s">
        <v>43</v>
      </c>
      <c r="C202" t="s">
        <v>38</v>
      </c>
      <c r="D202" t="s">
        <v>45</v>
      </c>
      <c r="E202" t="s">
        <v>34</v>
      </c>
      <c r="F202" s="2">
        <v>1550</v>
      </c>
      <c r="G202" s="2">
        <v>4</v>
      </c>
      <c r="H202" s="2">
        <v>4</v>
      </c>
      <c r="I202" t="s">
        <v>61</v>
      </c>
      <c r="J202" t="s">
        <v>53</v>
      </c>
      <c r="K202" s="1">
        <v>45746</v>
      </c>
      <c r="L202" s="2" t="s">
        <v>521</v>
      </c>
      <c r="M202" t="s">
        <v>47</v>
      </c>
      <c r="N202">
        <v>45</v>
      </c>
    </row>
    <row r="203" spans="1:14" x14ac:dyDescent="0.3">
      <c r="A203" t="s">
        <v>359</v>
      </c>
      <c r="B203" t="s">
        <v>414</v>
      </c>
      <c r="C203" t="s">
        <v>44</v>
      </c>
      <c r="D203" t="s">
        <v>45</v>
      </c>
      <c r="E203" t="s">
        <v>34</v>
      </c>
      <c r="F203" s="2">
        <v>2597</v>
      </c>
      <c r="G203" s="2">
        <v>3</v>
      </c>
      <c r="H203" s="2">
        <v>1</v>
      </c>
      <c r="I203" t="s">
        <v>61</v>
      </c>
      <c r="J203" t="s">
        <v>36</v>
      </c>
      <c r="K203" s="1">
        <v>45678</v>
      </c>
      <c r="L203" s="2" t="s">
        <v>360</v>
      </c>
      <c r="M203" t="s">
        <v>55</v>
      </c>
      <c r="N203">
        <v>87</v>
      </c>
    </row>
    <row r="204" spans="1:14" x14ac:dyDescent="0.3">
      <c r="A204" t="s">
        <v>361</v>
      </c>
      <c r="B204" t="s">
        <v>414</v>
      </c>
      <c r="C204" t="s">
        <v>54</v>
      </c>
      <c r="D204" t="s">
        <v>45</v>
      </c>
      <c r="E204" t="s">
        <v>49</v>
      </c>
      <c r="F204" s="2">
        <v>625</v>
      </c>
      <c r="G204" s="2">
        <v>2</v>
      </c>
      <c r="H204" s="2">
        <v>5</v>
      </c>
      <c r="I204" t="s">
        <v>51</v>
      </c>
      <c r="J204" t="s">
        <v>36</v>
      </c>
      <c r="K204" s="1">
        <v>45739</v>
      </c>
      <c r="L204" s="2" t="s">
        <v>522</v>
      </c>
      <c r="M204" t="s">
        <v>55</v>
      </c>
      <c r="N204">
        <v>49</v>
      </c>
    </row>
    <row r="205" spans="1:14" x14ac:dyDescent="0.3">
      <c r="A205" t="s">
        <v>362</v>
      </c>
      <c r="B205" t="s">
        <v>43</v>
      </c>
      <c r="C205" t="s">
        <v>32</v>
      </c>
      <c r="D205" t="s">
        <v>48</v>
      </c>
      <c r="E205" t="s">
        <v>49</v>
      </c>
      <c r="F205" s="2">
        <v>634</v>
      </c>
      <c r="G205" s="2">
        <v>1</v>
      </c>
      <c r="H205" s="2">
        <v>5</v>
      </c>
      <c r="I205" t="s">
        <v>51</v>
      </c>
      <c r="J205" t="s">
        <v>41</v>
      </c>
      <c r="K205" s="1">
        <v>45741</v>
      </c>
      <c r="L205" s="2" t="s">
        <v>363</v>
      </c>
      <c r="M205" t="s">
        <v>47</v>
      </c>
      <c r="N205">
        <v>45</v>
      </c>
    </row>
    <row r="206" spans="1:14" x14ac:dyDescent="0.3">
      <c r="A206" t="s">
        <v>364</v>
      </c>
      <c r="B206" t="s">
        <v>414</v>
      </c>
      <c r="C206" t="s">
        <v>32</v>
      </c>
      <c r="D206" t="s">
        <v>33</v>
      </c>
      <c r="E206" t="s">
        <v>59</v>
      </c>
      <c r="F206" s="2">
        <v>1550</v>
      </c>
      <c r="G206" s="2">
        <v>2</v>
      </c>
      <c r="H206" s="2">
        <v>5</v>
      </c>
      <c r="I206" t="s">
        <v>40</v>
      </c>
      <c r="J206" t="s">
        <v>41</v>
      </c>
      <c r="K206" s="1">
        <v>45740</v>
      </c>
      <c r="L206" s="2" t="s">
        <v>365</v>
      </c>
      <c r="M206" t="s">
        <v>47</v>
      </c>
      <c r="N206">
        <v>45</v>
      </c>
    </row>
    <row r="207" spans="1:14" x14ac:dyDescent="0.3">
      <c r="A207" t="s">
        <v>366</v>
      </c>
      <c r="B207" t="s">
        <v>415</v>
      </c>
      <c r="C207" t="s">
        <v>44</v>
      </c>
      <c r="D207" t="s">
        <v>33</v>
      </c>
      <c r="E207" t="s">
        <v>57</v>
      </c>
      <c r="F207" s="2">
        <v>1550</v>
      </c>
      <c r="G207" s="2">
        <v>3</v>
      </c>
      <c r="H207" s="2">
        <v>5</v>
      </c>
      <c r="I207" t="s">
        <v>51</v>
      </c>
      <c r="J207" t="s">
        <v>53</v>
      </c>
      <c r="K207" s="1">
        <v>45661</v>
      </c>
      <c r="L207" s="2" t="s">
        <v>367</v>
      </c>
      <c r="M207" t="s">
        <v>47</v>
      </c>
      <c r="N207">
        <v>49</v>
      </c>
    </row>
    <row r="208" spans="1:14" x14ac:dyDescent="0.3">
      <c r="A208" t="s">
        <v>368</v>
      </c>
      <c r="B208" t="s">
        <v>58</v>
      </c>
      <c r="C208" t="s">
        <v>32</v>
      </c>
      <c r="D208" t="s">
        <v>52</v>
      </c>
      <c r="E208" t="s">
        <v>57</v>
      </c>
      <c r="F208" s="2">
        <v>1550</v>
      </c>
      <c r="G208" s="2">
        <v>3</v>
      </c>
      <c r="H208" s="2">
        <v>5</v>
      </c>
      <c r="I208" t="s">
        <v>35</v>
      </c>
      <c r="J208" t="s">
        <v>41</v>
      </c>
      <c r="K208" s="1">
        <v>45841</v>
      </c>
      <c r="L208" s="2" t="s">
        <v>369</v>
      </c>
      <c r="M208" t="s">
        <v>55</v>
      </c>
      <c r="N208">
        <v>67</v>
      </c>
    </row>
    <row r="209" spans="1:14" x14ac:dyDescent="0.3">
      <c r="A209" t="s">
        <v>370</v>
      </c>
      <c r="B209" t="s">
        <v>416</v>
      </c>
      <c r="C209" t="s">
        <v>56</v>
      </c>
      <c r="D209" t="s">
        <v>33</v>
      </c>
      <c r="E209" t="s">
        <v>46</v>
      </c>
      <c r="F209" s="2">
        <v>1550</v>
      </c>
      <c r="G209" s="2">
        <v>5</v>
      </c>
      <c r="H209" s="2">
        <v>2</v>
      </c>
      <c r="I209" t="s">
        <v>61</v>
      </c>
      <c r="J209" t="s">
        <v>36</v>
      </c>
      <c r="K209" s="1">
        <v>45729</v>
      </c>
      <c r="L209" s="2" t="s">
        <v>523</v>
      </c>
      <c r="M209" t="s">
        <v>47</v>
      </c>
      <c r="N209">
        <v>31</v>
      </c>
    </row>
    <row r="210" spans="1:14" x14ac:dyDescent="0.3">
      <c r="A210" t="s">
        <v>371</v>
      </c>
      <c r="B210" t="s">
        <v>416</v>
      </c>
      <c r="C210" t="s">
        <v>54</v>
      </c>
      <c r="D210" t="s">
        <v>33</v>
      </c>
      <c r="E210" t="s">
        <v>57</v>
      </c>
      <c r="F210" s="2">
        <v>1816</v>
      </c>
      <c r="G210" s="2">
        <v>5</v>
      </c>
      <c r="H210" s="2">
        <v>5</v>
      </c>
      <c r="I210" t="s">
        <v>40</v>
      </c>
      <c r="J210" t="s">
        <v>36</v>
      </c>
      <c r="K210" s="1">
        <v>45735</v>
      </c>
      <c r="L210" s="2" t="s">
        <v>372</v>
      </c>
      <c r="M210" t="s">
        <v>55</v>
      </c>
      <c r="N210">
        <v>49</v>
      </c>
    </row>
    <row r="211" spans="1:14" x14ac:dyDescent="0.3">
      <c r="A211" t="s">
        <v>373</v>
      </c>
      <c r="B211" t="s">
        <v>416</v>
      </c>
      <c r="C211" t="s">
        <v>32</v>
      </c>
      <c r="D211" t="s">
        <v>48</v>
      </c>
      <c r="E211" t="s">
        <v>49</v>
      </c>
      <c r="F211" s="2">
        <v>1550</v>
      </c>
      <c r="G211" s="2">
        <v>4</v>
      </c>
      <c r="H211" s="2">
        <v>3</v>
      </c>
      <c r="I211" t="s">
        <v>35</v>
      </c>
      <c r="J211" t="s">
        <v>36</v>
      </c>
      <c r="K211" s="1">
        <v>45686</v>
      </c>
      <c r="L211" s="2" t="s">
        <v>524</v>
      </c>
      <c r="M211" t="s">
        <v>47</v>
      </c>
      <c r="N211">
        <v>45</v>
      </c>
    </row>
    <row r="212" spans="1:14" x14ac:dyDescent="0.3">
      <c r="A212" t="s">
        <v>374</v>
      </c>
      <c r="B212" t="s">
        <v>63</v>
      </c>
      <c r="C212" t="s">
        <v>54</v>
      </c>
      <c r="D212" t="s">
        <v>62</v>
      </c>
      <c r="E212" t="s">
        <v>34</v>
      </c>
      <c r="F212" s="2">
        <v>961</v>
      </c>
      <c r="G212" s="2">
        <v>2</v>
      </c>
      <c r="H212" s="2">
        <v>2</v>
      </c>
      <c r="I212" t="s">
        <v>61</v>
      </c>
      <c r="J212" t="s">
        <v>41</v>
      </c>
      <c r="K212" s="1">
        <v>45769</v>
      </c>
      <c r="L212" s="2" t="s">
        <v>525</v>
      </c>
      <c r="M212" t="s">
        <v>55</v>
      </c>
      <c r="N212">
        <v>49</v>
      </c>
    </row>
    <row r="213" spans="1:14" x14ac:dyDescent="0.3">
      <c r="A213" t="s">
        <v>375</v>
      </c>
      <c r="B213" t="s">
        <v>415</v>
      </c>
      <c r="C213" t="s">
        <v>38</v>
      </c>
      <c r="D213" t="s">
        <v>33</v>
      </c>
      <c r="E213" t="s">
        <v>59</v>
      </c>
      <c r="F213" s="2">
        <v>1550</v>
      </c>
      <c r="G213" s="2">
        <v>4</v>
      </c>
      <c r="H213" s="2">
        <v>3</v>
      </c>
      <c r="I213" t="s">
        <v>51</v>
      </c>
      <c r="J213" t="s">
        <v>41</v>
      </c>
      <c r="K213" s="1">
        <v>45658</v>
      </c>
      <c r="L213" s="2" t="s">
        <v>376</v>
      </c>
      <c r="M213" t="s">
        <v>47</v>
      </c>
      <c r="N213">
        <v>49</v>
      </c>
    </row>
    <row r="214" spans="1:14" x14ac:dyDescent="0.3">
      <c r="A214" t="s">
        <v>377</v>
      </c>
      <c r="B214" t="s">
        <v>414</v>
      </c>
      <c r="C214" t="s">
        <v>38</v>
      </c>
      <c r="D214" t="s">
        <v>45</v>
      </c>
      <c r="E214" t="s">
        <v>46</v>
      </c>
      <c r="F214" s="2">
        <v>1174</v>
      </c>
      <c r="G214" s="2">
        <v>3</v>
      </c>
      <c r="H214" s="2">
        <v>3</v>
      </c>
      <c r="I214" t="s">
        <v>35</v>
      </c>
      <c r="J214" t="s">
        <v>36</v>
      </c>
      <c r="K214" s="1">
        <v>45772</v>
      </c>
      <c r="L214" s="2" t="s">
        <v>378</v>
      </c>
      <c r="M214" t="s">
        <v>47</v>
      </c>
      <c r="N214">
        <v>49</v>
      </c>
    </row>
    <row r="215" spans="1:14" x14ac:dyDescent="0.3">
      <c r="A215" t="s">
        <v>379</v>
      </c>
      <c r="B215" t="s">
        <v>58</v>
      </c>
      <c r="C215" t="s">
        <v>50</v>
      </c>
      <c r="D215" t="s">
        <v>62</v>
      </c>
      <c r="E215" t="s">
        <v>34</v>
      </c>
      <c r="F215" s="2">
        <v>774</v>
      </c>
      <c r="G215" s="2">
        <v>2</v>
      </c>
      <c r="H215" s="2">
        <v>5</v>
      </c>
      <c r="I215" t="s">
        <v>51</v>
      </c>
      <c r="J215" t="s">
        <v>36</v>
      </c>
      <c r="K215" s="1">
        <v>45688</v>
      </c>
      <c r="L215" s="2" t="s">
        <v>526</v>
      </c>
      <c r="M215" t="s">
        <v>47</v>
      </c>
      <c r="N215">
        <v>49</v>
      </c>
    </row>
    <row r="216" spans="1:14" x14ac:dyDescent="0.3">
      <c r="A216" t="s">
        <v>380</v>
      </c>
      <c r="B216" t="s">
        <v>43</v>
      </c>
      <c r="C216" t="s">
        <v>32</v>
      </c>
      <c r="D216" t="s">
        <v>48</v>
      </c>
      <c r="E216" t="s">
        <v>59</v>
      </c>
      <c r="F216" s="2">
        <v>2723</v>
      </c>
      <c r="G216" s="2">
        <v>2</v>
      </c>
      <c r="H216" s="2">
        <v>1</v>
      </c>
      <c r="I216" t="s">
        <v>35</v>
      </c>
      <c r="J216" t="s">
        <v>36</v>
      </c>
      <c r="K216" s="1">
        <v>45901</v>
      </c>
      <c r="L216" s="2" t="s">
        <v>381</v>
      </c>
      <c r="M216" t="s">
        <v>47</v>
      </c>
      <c r="N216">
        <v>79</v>
      </c>
    </row>
    <row r="217" spans="1:14" x14ac:dyDescent="0.3">
      <c r="A217" t="s">
        <v>382</v>
      </c>
      <c r="B217" t="s">
        <v>415</v>
      </c>
      <c r="C217" t="s">
        <v>32</v>
      </c>
      <c r="D217" t="s">
        <v>45</v>
      </c>
      <c r="E217" t="s">
        <v>49</v>
      </c>
      <c r="F217" s="2">
        <v>2741</v>
      </c>
      <c r="G217" s="2">
        <v>4</v>
      </c>
      <c r="H217" s="2">
        <v>5</v>
      </c>
      <c r="I217" t="s">
        <v>51</v>
      </c>
      <c r="J217" t="s">
        <v>41</v>
      </c>
      <c r="K217" s="1">
        <v>45774</v>
      </c>
      <c r="L217" s="2" t="s">
        <v>383</v>
      </c>
      <c r="M217" t="s">
        <v>47</v>
      </c>
      <c r="N217">
        <v>22</v>
      </c>
    </row>
    <row r="218" spans="1:14" x14ac:dyDescent="0.3">
      <c r="A218" t="s">
        <v>384</v>
      </c>
      <c r="B218" t="s">
        <v>414</v>
      </c>
      <c r="C218" t="s">
        <v>56</v>
      </c>
      <c r="D218" t="s">
        <v>52</v>
      </c>
      <c r="E218" t="s">
        <v>59</v>
      </c>
      <c r="F218" s="2">
        <v>1528</v>
      </c>
      <c r="G218" s="2">
        <v>3</v>
      </c>
      <c r="H218" s="2">
        <v>5</v>
      </c>
      <c r="I218" t="s">
        <v>51</v>
      </c>
      <c r="J218" t="s">
        <v>36</v>
      </c>
      <c r="K218" s="1">
        <v>45769</v>
      </c>
      <c r="L218" s="2" t="s">
        <v>385</v>
      </c>
      <c r="M218" t="s">
        <v>47</v>
      </c>
      <c r="N218">
        <v>45</v>
      </c>
    </row>
    <row r="219" spans="1:14" x14ac:dyDescent="0.3">
      <c r="A219" t="s">
        <v>386</v>
      </c>
      <c r="B219" t="s">
        <v>37</v>
      </c>
      <c r="C219" t="s">
        <v>54</v>
      </c>
      <c r="D219" t="s">
        <v>33</v>
      </c>
      <c r="E219" t="s">
        <v>34</v>
      </c>
      <c r="F219" s="2">
        <v>1527</v>
      </c>
      <c r="G219" s="2">
        <v>5</v>
      </c>
      <c r="H219" s="2">
        <v>3</v>
      </c>
      <c r="I219" t="s">
        <v>35</v>
      </c>
      <c r="J219" t="s">
        <v>36</v>
      </c>
      <c r="K219" s="1">
        <v>45763</v>
      </c>
      <c r="L219" s="2" t="s">
        <v>387</v>
      </c>
      <c r="M219" t="s">
        <v>47</v>
      </c>
      <c r="N219">
        <v>49</v>
      </c>
    </row>
    <row r="220" spans="1:14" x14ac:dyDescent="0.3">
      <c r="A220" t="s">
        <v>388</v>
      </c>
      <c r="B220" t="s">
        <v>63</v>
      </c>
      <c r="C220" t="s">
        <v>50</v>
      </c>
      <c r="D220" t="s">
        <v>48</v>
      </c>
      <c r="E220" t="s">
        <v>49</v>
      </c>
      <c r="F220" s="2">
        <v>2920</v>
      </c>
      <c r="G220" s="2">
        <v>3</v>
      </c>
      <c r="H220" s="2">
        <v>3</v>
      </c>
      <c r="I220" t="s">
        <v>51</v>
      </c>
      <c r="J220" t="s">
        <v>41</v>
      </c>
      <c r="K220" s="1">
        <v>45727</v>
      </c>
      <c r="L220" s="2" t="s">
        <v>527</v>
      </c>
      <c r="M220" t="s">
        <v>55</v>
      </c>
      <c r="N220">
        <v>49</v>
      </c>
    </row>
    <row r="221" spans="1:14" x14ac:dyDescent="0.3">
      <c r="A221" t="s">
        <v>389</v>
      </c>
      <c r="B221" t="s">
        <v>415</v>
      </c>
      <c r="C221" t="s">
        <v>54</v>
      </c>
      <c r="D221" t="s">
        <v>39</v>
      </c>
      <c r="E221" t="s">
        <v>57</v>
      </c>
      <c r="F221" s="2">
        <v>2713</v>
      </c>
      <c r="G221" s="2">
        <v>1</v>
      </c>
      <c r="H221" s="2">
        <v>3</v>
      </c>
      <c r="I221" t="s">
        <v>61</v>
      </c>
      <c r="J221" t="s">
        <v>36</v>
      </c>
      <c r="K221" s="1">
        <v>45709</v>
      </c>
      <c r="L221" s="2" t="s">
        <v>528</v>
      </c>
      <c r="M221" t="s">
        <v>47</v>
      </c>
      <c r="N221">
        <v>49</v>
      </c>
    </row>
    <row r="222" spans="1:14" x14ac:dyDescent="0.3">
      <c r="A222" t="s">
        <v>390</v>
      </c>
      <c r="B222" t="s">
        <v>416</v>
      </c>
      <c r="C222" t="s">
        <v>32</v>
      </c>
      <c r="D222" t="s">
        <v>39</v>
      </c>
      <c r="E222" t="s">
        <v>49</v>
      </c>
      <c r="F222" s="2">
        <v>1550</v>
      </c>
      <c r="G222" s="2">
        <v>2</v>
      </c>
      <c r="H222" s="2">
        <v>3</v>
      </c>
      <c r="I222" t="s">
        <v>40</v>
      </c>
      <c r="J222" t="s">
        <v>36</v>
      </c>
      <c r="K222" s="1">
        <v>45765</v>
      </c>
      <c r="L222" s="2" t="s">
        <v>391</v>
      </c>
      <c r="M222" t="s">
        <v>55</v>
      </c>
      <c r="N222">
        <v>49</v>
      </c>
    </row>
    <row r="223" spans="1:14" x14ac:dyDescent="0.3">
      <c r="A223" t="s">
        <v>392</v>
      </c>
      <c r="B223" t="s">
        <v>43</v>
      </c>
      <c r="C223" t="s">
        <v>38</v>
      </c>
      <c r="D223" t="s">
        <v>62</v>
      </c>
      <c r="E223" t="s">
        <v>59</v>
      </c>
      <c r="F223" s="2">
        <v>2396</v>
      </c>
      <c r="G223" s="2">
        <v>1</v>
      </c>
      <c r="H223" s="2">
        <v>5</v>
      </c>
      <c r="I223" t="s">
        <v>35</v>
      </c>
      <c r="J223" t="s">
        <v>41</v>
      </c>
      <c r="K223" s="1">
        <v>45685</v>
      </c>
      <c r="L223" s="2" t="s">
        <v>393</v>
      </c>
      <c r="M223" t="s">
        <v>47</v>
      </c>
      <c r="N223">
        <v>89</v>
      </c>
    </row>
    <row r="224" spans="1:14" x14ac:dyDescent="0.3">
      <c r="A224" t="s">
        <v>394</v>
      </c>
      <c r="B224" t="s">
        <v>415</v>
      </c>
      <c r="C224" t="s">
        <v>56</v>
      </c>
      <c r="D224" t="s">
        <v>52</v>
      </c>
      <c r="E224" t="s">
        <v>46</v>
      </c>
      <c r="F224" s="2">
        <v>742</v>
      </c>
      <c r="G224" s="2">
        <v>4</v>
      </c>
      <c r="H224" s="2">
        <v>1</v>
      </c>
      <c r="I224" t="s">
        <v>35</v>
      </c>
      <c r="J224" t="s">
        <v>36</v>
      </c>
      <c r="K224" s="1">
        <v>45672</v>
      </c>
      <c r="L224" s="2" t="s">
        <v>395</v>
      </c>
      <c r="M224" t="s">
        <v>55</v>
      </c>
      <c r="N224">
        <v>49</v>
      </c>
    </row>
    <row r="225" spans="1:14" x14ac:dyDescent="0.3">
      <c r="A225" t="s">
        <v>396</v>
      </c>
      <c r="B225" t="s">
        <v>37</v>
      </c>
      <c r="C225" t="s">
        <v>54</v>
      </c>
      <c r="D225" t="s">
        <v>39</v>
      </c>
      <c r="E225" t="s">
        <v>34</v>
      </c>
      <c r="F225" s="2">
        <v>1157</v>
      </c>
      <c r="G225" s="2">
        <v>5</v>
      </c>
      <c r="H225" s="2">
        <v>5</v>
      </c>
      <c r="I225" t="s">
        <v>40</v>
      </c>
      <c r="J225" t="s">
        <v>36</v>
      </c>
      <c r="K225" s="1">
        <v>45932</v>
      </c>
      <c r="L225" s="2" t="s">
        <v>529</v>
      </c>
      <c r="M225" t="s">
        <v>47</v>
      </c>
      <c r="N225">
        <v>49</v>
      </c>
    </row>
    <row r="226" spans="1:14" x14ac:dyDescent="0.3">
      <c r="A226" t="s">
        <v>397</v>
      </c>
      <c r="B226" t="s">
        <v>63</v>
      </c>
      <c r="C226" t="s">
        <v>54</v>
      </c>
      <c r="D226" t="s">
        <v>62</v>
      </c>
      <c r="E226" t="s">
        <v>46</v>
      </c>
      <c r="F226" s="2">
        <v>2809</v>
      </c>
      <c r="G226" s="2">
        <v>2</v>
      </c>
      <c r="H226" s="2">
        <v>3</v>
      </c>
      <c r="I226" t="s">
        <v>40</v>
      </c>
      <c r="J226" t="s">
        <v>41</v>
      </c>
      <c r="K226" s="1">
        <v>45693</v>
      </c>
      <c r="L226" s="2" t="s">
        <v>530</v>
      </c>
      <c r="M226" t="s">
        <v>47</v>
      </c>
      <c r="N226">
        <v>49</v>
      </c>
    </row>
    <row r="227" spans="1:14" x14ac:dyDescent="0.3">
      <c r="A227" t="s">
        <v>398</v>
      </c>
      <c r="B227" t="s">
        <v>415</v>
      </c>
      <c r="C227" t="s">
        <v>56</v>
      </c>
      <c r="D227" t="s">
        <v>48</v>
      </c>
      <c r="E227" t="s">
        <v>34</v>
      </c>
      <c r="F227" s="2">
        <v>1550</v>
      </c>
      <c r="G227" s="2">
        <v>3</v>
      </c>
      <c r="H227" s="2">
        <v>3</v>
      </c>
      <c r="I227" t="s">
        <v>51</v>
      </c>
      <c r="J227" t="s">
        <v>36</v>
      </c>
      <c r="K227" s="1">
        <v>45726</v>
      </c>
      <c r="L227" s="2" t="s">
        <v>399</v>
      </c>
      <c r="M227" t="s">
        <v>55</v>
      </c>
      <c r="N227">
        <v>49</v>
      </c>
    </row>
    <row r="228" spans="1:14" x14ac:dyDescent="0.3">
      <c r="A228" t="s">
        <v>400</v>
      </c>
      <c r="B228" t="s">
        <v>63</v>
      </c>
      <c r="C228" t="s">
        <v>32</v>
      </c>
      <c r="D228" t="s">
        <v>39</v>
      </c>
      <c r="E228" t="s">
        <v>49</v>
      </c>
      <c r="F228" s="2">
        <v>2732</v>
      </c>
      <c r="G228" s="2">
        <v>3</v>
      </c>
      <c r="H228" s="2">
        <v>3</v>
      </c>
      <c r="I228" t="s">
        <v>51</v>
      </c>
      <c r="J228" t="s">
        <v>53</v>
      </c>
      <c r="K228" s="1">
        <v>45903</v>
      </c>
      <c r="L228" s="2" t="s">
        <v>531</v>
      </c>
      <c r="M228" t="s">
        <v>55</v>
      </c>
      <c r="N228">
        <v>49</v>
      </c>
    </row>
    <row r="229" spans="1:14" x14ac:dyDescent="0.3">
      <c r="A229" t="s">
        <v>401</v>
      </c>
      <c r="B229" t="s">
        <v>415</v>
      </c>
      <c r="C229" t="s">
        <v>38</v>
      </c>
      <c r="D229" t="s">
        <v>45</v>
      </c>
      <c r="E229" t="s">
        <v>34</v>
      </c>
      <c r="F229" s="2">
        <v>1550</v>
      </c>
      <c r="G229" s="2">
        <v>2</v>
      </c>
      <c r="H229" s="2">
        <v>4</v>
      </c>
      <c r="I229" t="s">
        <v>61</v>
      </c>
      <c r="J229" t="s">
        <v>36</v>
      </c>
      <c r="K229" s="1">
        <v>45667</v>
      </c>
      <c r="L229" s="2" t="s">
        <v>532</v>
      </c>
      <c r="M229" t="s">
        <v>47</v>
      </c>
      <c r="N229">
        <v>90</v>
      </c>
    </row>
    <row r="230" spans="1:14" x14ac:dyDescent="0.3">
      <c r="A230" t="s">
        <v>402</v>
      </c>
      <c r="B230" t="s">
        <v>58</v>
      </c>
      <c r="C230" t="s">
        <v>32</v>
      </c>
      <c r="D230" t="s">
        <v>62</v>
      </c>
      <c r="E230" t="s">
        <v>49</v>
      </c>
      <c r="F230" s="2">
        <v>2166</v>
      </c>
      <c r="G230" s="2">
        <v>2</v>
      </c>
      <c r="H230" s="2">
        <v>2</v>
      </c>
      <c r="I230" t="s">
        <v>51</v>
      </c>
      <c r="J230" t="s">
        <v>36</v>
      </c>
      <c r="K230" s="1">
        <v>45902</v>
      </c>
      <c r="L230" s="2" t="s">
        <v>533</v>
      </c>
      <c r="M230" t="s">
        <v>47</v>
      </c>
      <c r="N230">
        <v>49</v>
      </c>
    </row>
    <row r="231" spans="1:14" x14ac:dyDescent="0.3">
      <c r="A231" t="s">
        <v>403</v>
      </c>
      <c r="B231" t="s">
        <v>43</v>
      </c>
      <c r="C231" t="s">
        <v>44</v>
      </c>
      <c r="D231" t="s">
        <v>33</v>
      </c>
      <c r="E231" t="s">
        <v>46</v>
      </c>
      <c r="F231" s="2">
        <v>755</v>
      </c>
      <c r="G231" s="2">
        <v>3</v>
      </c>
      <c r="H231" s="2">
        <v>2</v>
      </c>
      <c r="I231" t="s">
        <v>51</v>
      </c>
      <c r="J231" t="s">
        <v>36</v>
      </c>
      <c r="K231" s="1">
        <v>45676</v>
      </c>
      <c r="L231" s="2" t="s">
        <v>534</v>
      </c>
      <c r="M231" t="s">
        <v>47</v>
      </c>
      <c r="N231">
        <v>49</v>
      </c>
    </row>
    <row r="233" spans="1:14" x14ac:dyDescent="0.3">
      <c r="F233"/>
      <c r="G233"/>
      <c r="H233"/>
      <c r="K233"/>
      <c r="L233"/>
    </row>
    <row r="234" spans="1:14" x14ac:dyDescent="0.3">
      <c r="F234"/>
      <c r="G234"/>
      <c r="H234"/>
      <c r="K234"/>
      <c r="L234"/>
    </row>
    <row r="235" spans="1:14" x14ac:dyDescent="0.3">
      <c r="F235"/>
      <c r="G235"/>
      <c r="H235"/>
      <c r="K235"/>
      <c r="L235"/>
    </row>
    <row r="236" spans="1:14" x14ac:dyDescent="0.3">
      <c r="F236"/>
      <c r="G236"/>
      <c r="H236"/>
      <c r="K236"/>
      <c r="L236"/>
    </row>
    <row r="237" spans="1:14" x14ac:dyDescent="0.3">
      <c r="F237"/>
      <c r="G237"/>
      <c r="H237"/>
      <c r="K237"/>
      <c r="L237"/>
    </row>
    <row r="238" spans="1:14" x14ac:dyDescent="0.3">
      <c r="F238"/>
      <c r="G238"/>
      <c r="H238"/>
      <c r="K238"/>
      <c r="L238"/>
    </row>
    <row r="239" spans="1:14" x14ac:dyDescent="0.3">
      <c r="F239"/>
      <c r="G239"/>
      <c r="H239"/>
      <c r="K239"/>
      <c r="L239"/>
    </row>
    <row r="240" spans="1:14" x14ac:dyDescent="0.3">
      <c r="F240"/>
      <c r="G240"/>
      <c r="H240"/>
      <c r="K240"/>
      <c r="L240"/>
    </row>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sheetData>
  <autoFilter ref="A1:N23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FF0F9-B67A-45C4-9C62-00B8C2CF0F7E}">
  <dimension ref="B7:C20"/>
  <sheetViews>
    <sheetView workbookViewId="0">
      <selection activeCell="O19" sqref="O19"/>
    </sheetView>
  </sheetViews>
  <sheetFormatPr defaultRowHeight="14.4" x14ac:dyDescent="0.3"/>
  <cols>
    <col min="2" max="2" width="12.5546875" bestFit="1" customWidth="1"/>
    <col min="3" max="3" width="20.33203125" bestFit="1" customWidth="1"/>
  </cols>
  <sheetData>
    <row r="7" spans="2:3" x14ac:dyDescent="0.3">
      <c r="B7" s="3" t="s">
        <v>535</v>
      </c>
      <c r="C7" t="s">
        <v>549</v>
      </c>
    </row>
    <row r="8" spans="2:3" x14ac:dyDescent="0.3">
      <c r="B8" s="4" t="s">
        <v>537</v>
      </c>
      <c r="C8" s="2">
        <v>83677</v>
      </c>
    </row>
    <row r="9" spans="2:3" x14ac:dyDescent="0.3">
      <c r="B9" s="4" t="s">
        <v>538</v>
      </c>
      <c r="C9" s="2">
        <v>66130</v>
      </c>
    </row>
    <row r="10" spans="2:3" x14ac:dyDescent="0.3">
      <c r="B10" s="4" t="s">
        <v>539</v>
      </c>
      <c r="C10" s="2">
        <v>102323</v>
      </c>
    </row>
    <row r="11" spans="2:3" x14ac:dyDescent="0.3">
      <c r="B11" s="4" t="s">
        <v>540</v>
      </c>
      <c r="C11" s="2">
        <v>82101</v>
      </c>
    </row>
    <row r="12" spans="2:3" x14ac:dyDescent="0.3">
      <c r="B12" s="4" t="s">
        <v>541</v>
      </c>
      <c r="C12" s="2">
        <v>1456</v>
      </c>
    </row>
    <row r="13" spans="2:3" x14ac:dyDescent="0.3">
      <c r="B13" s="4" t="s">
        <v>542</v>
      </c>
      <c r="C13" s="2">
        <v>3106</v>
      </c>
    </row>
    <row r="14" spans="2:3" x14ac:dyDescent="0.3">
      <c r="B14" s="4" t="s">
        <v>543</v>
      </c>
      <c r="C14" s="2">
        <v>5570</v>
      </c>
    </row>
    <row r="15" spans="2:3" x14ac:dyDescent="0.3">
      <c r="B15" s="4" t="s">
        <v>544</v>
      </c>
      <c r="C15" s="2">
        <v>1550</v>
      </c>
    </row>
    <row r="16" spans="2:3" x14ac:dyDescent="0.3">
      <c r="B16" s="4" t="s">
        <v>545</v>
      </c>
      <c r="C16" s="2">
        <v>7800</v>
      </c>
    </row>
    <row r="17" spans="2:3" x14ac:dyDescent="0.3">
      <c r="B17" s="4" t="s">
        <v>546</v>
      </c>
      <c r="C17" s="2">
        <v>8340</v>
      </c>
    </row>
    <row r="18" spans="2:3" x14ac:dyDescent="0.3">
      <c r="B18" s="4" t="s">
        <v>547</v>
      </c>
      <c r="C18" s="2">
        <v>4193</v>
      </c>
    </row>
    <row r="19" spans="2:3" x14ac:dyDescent="0.3">
      <c r="B19" s="4" t="s">
        <v>548</v>
      </c>
      <c r="C19" s="2">
        <v>3307</v>
      </c>
    </row>
    <row r="20" spans="2:3" x14ac:dyDescent="0.3">
      <c r="B20" s="4" t="s">
        <v>536</v>
      </c>
      <c r="C20" s="2">
        <v>369553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C649-DECA-4A4E-8F9A-A0A1126DDEFD}">
  <dimension ref="B5:C12"/>
  <sheetViews>
    <sheetView workbookViewId="0">
      <selection activeCell="K3" sqref="K3"/>
    </sheetView>
  </sheetViews>
  <sheetFormatPr defaultRowHeight="14.4" x14ac:dyDescent="0.3"/>
  <cols>
    <col min="2" max="2" width="12.5546875" bestFit="1" customWidth="1"/>
    <col min="3" max="3" width="21.77734375" bestFit="1" customWidth="1"/>
  </cols>
  <sheetData>
    <row r="5" spans="2:3" x14ac:dyDescent="0.3">
      <c r="B5" s="3" t="s">
        <v>535</v>
      </c>
      <c r="C5" t="s">
        <v>552</v>
      </c>
    </row>
    <row r="6" spans="2:3" x14ac:dyDescent="0.3">
      <c r="B6" s="4" t="s">
        <v>54</v>
      </c>
      <c r="C6" s="7">
        <v>45</v>
      </c>
    </row>
    <row r="7" spans="2:3" x14ac:dyDescent="0.3">
      <c r="B7" s="4" t="s">
        <v>38</v>
      </c>
      <c r="C7" s="7">
        <v>36</v>
      </c>
    </row>
    <row r="8" spans="2:3" x14ac:dyDescent="0.3">
      <c r="B8" s="4" t="s">
        <v>44</v>
      </c>
      <c r="C8" s="7">
        <v>31</v>
      </c>
    </row>
    <row r="9" spans="2:3" x14ac:dyDescent="0.3">
      <c r="B9" s="4" t="s">
        <v>32</v>
      </c>
      <c r="C9" s="7">
        <v>46</v>
      </c>
    </row>
    <row r="10" spans="2:3" x14ac:dyDescent="0.3">
      <c r="B10" s="4" t="s">
        <v>50</v>
      </c>
      <c r="C10" s="7">
        <v>33</v>
      </c>
    </row>
    <row r="11" spans="2:3" x14ac:dyDescent="0.3">
      <c r="B11" s="4" t="s">
        <v>56</v>
      </c>
      <c r="C11" s="7">
        <v>39</v>
      </c>
    </row>
    <row r="12" spans="2:3" x14ac:dyDescent="0.3">
      <c r="B12" s="4" t="s">
        <v>536</v>
      </c>
      <c r="C12" s="7">
        <v>230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0A5FD-71DF-450F-9490-4FC82DAAFD79}">
  <dimension ref="A3:B10"/>
  <sheetViews>
    <sheetView workbookViewId="0">
      <selection activeCell="L14" sqref="L14"/>
    </sheetView>
  </sheetViews>
  <sheetFormatPr defaultRowHeight="14.4" x14ac:dyDescent="0.3"/>
  <cols>
    <col min="1" max="1" width="13.21875" bestFit="1" customWidth="1"/>
    <col min="2" max="2" width="25.44140625" bestFit="1" customWidth="1"/>
  </cols>
  <sheetData>
    <row r="3" spans="1:2" x14ac:dyDescent="0.3">
      <c r="A3" s="3" t="s">
        <v>535</v>
      </c>
      <c r="B3" t="s">
        <v>553</v>
      </c>
    </row>
    <row r="4" spans="1:2" x14ac:dyDescent="0.3">
      <c r="A4" s="4" t="s">
        <v>52</v>
      </c>
      <c r="B4" s="2">
        <v>3.6</v>
      </c>
    </row>
    <row r="5" spans="1:2" x14ac:dyDescent="0.3">
      <c r="A5" s="4" t="s">
        <v>39</v>
      </c>
      <c r="B5" s="2">
        <v>3.0625</v>
      </c>
    </row>
    <row r="6" spans="1:2" x14ac:dyDescent="0.3">
      <c r="A6" s="4" t="s">
        <v>48</v>
      </c>
      <c r="B6" s="2">
        <v>3.3103448275862069</v>
      </c>
    </row>
    <row r="7" spans="1:2" x14ac:dyDescent="0.3">
      <c r="A7" s="4" t="s">
        <v>62</v>
      </c>
      <c r="B7" s="2">
        <v>3.5714285714285716</v>
      </c>
    </row>
    <row r="8" spans="1:2" x14ac:dyDescent="0.3">
      <c r="A8" s="4" t="s">
        <v>45</v>
      </c>
      <c r="B8" s="2">
        <v>3.5208333333333335</v>
      </c>
    </row>
    <row r="9" spans="1:2" x14ac:dyDescent="0.3">
      <c r="A9" s="4" t="s">
        <v>33</v>
      </c>
      <c r="B9" s="2">
        <v>3.392156862745098</v>
      </c>
    </row>
    <row r="10" spans="1:2" x14ac:dyDescent="0.3">
      <c r="A10" s="4" t="s">
        <v>536</v>
      </c>
      <c r="B10" s="2">
        <v>3.4217391304347826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48A61-1B60-4144-B971-F776BA4D7E5A}">
  <dimension ref="A3:B9"/>
  <sheetViews>
    <sheetView workbookViewId="0">
      <selection activeCell="B3" sqref="B3"/>
    </sheetView>
  </sheetViews>
  <sheetFormatPr defaultRowHeight="14.4" x14ac:dyDescent="0.3"/>
  <cols>
    <col min="1" max="1" width="12.5546875" bestFit="1" customWidth="1"/>
    <col min="2" max="2" width="20" bestFit="1" customWidth="1"/>
    <col min="4" max="4" width="7.88671875" bestFit="1" customWidth="1"/>
    <col min="5" max="5" width="10.77734375" bestFit="1" customWidth="1"/>
  </cols>
  <sheetData>
    <row r="3" spans="1:2" x14ac:dyDescent="0.3">
      <c r="A3" s="3" t="s">
        <v>535</v>
      </c>
      <c r="B3" t="s">
        <v>550</v>
      </c>
    </row>
    <row r="4" spans="1:2" x14ac:dyDescent="0.3">
      <c r="A4" s="4" t="s">
        <v>34</v>
      </c>
      <c r="B4" s="7">
        <v>47</v>
      </c>
    </row>
    <row r="5" spans="1:2" x14ac:dyDescent="0.3">
      <c r="A5" s="4" t="s">
        <v>46</v>
      </c>
      <c r="B5" s="7">
        <v>48</v>
      </c>
    </row>
    <row r="6" spans="1:2" x14ac:dyDescent="0.3">
      <c r="A6" s="4" t="s">
        <v>57</v>
      </c>
      <c r="B6" s="7">
        <v>45</v>
      </c>
    </row>
    <row r="7" spans="1:2" x14ac:dyDescent="0.3">
      <c r="A7" s="4" t="s">
        <v>49</v>
      </c>
      <c r="B7" s="7">
        <v>46</v>
      </c>
    </row>
    <row r="8" spans="1:2" x14ac:dyDescent="0.3">
      <c r="A8" s="4" t="s">
        <v>59</v>
      </c>
      <c r="B8" s="7">
        <v>44</v>
      </c>
    </row>
    <row r="9" spans="1:2" x14ac:dyDescent="0.3">
      <c r="A9" s="4" t="s">
        <v>536</v>
      </c>
      <c r="B9" s="7">
        <v>230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672C8-0A8E-4BBB-B231-C76DEFB2A0D5}">
  <dimension ref="A3:B8"/>
  <sheetViews>
    <sheetView workbookViewId="0">
      <selection activeCell="N13" sqref="N13"/>
    </sheetView>
  </sheetViews>
  <sheetFormatPr defaultRowHeight="14.4" x14ac:dyDescent="0.3"/>
  <cols>
    <col min="1" max="1" width="12.5546875" bestFit="1" customWidth="1"/>
    <col min="2" max="2" width="22.6640625" bestFit="1" customWidth="1"/>
  </cols>
  <sheetData>
    <row r="3" spans="1:2" x14ac:dyDescent="0.3">
      <c r="A3" s="3" t="s">
        <v>535</v>
      </c>
      <c r="B3" t="s">
        <v>551</v>
      </c>
    </row>
    <row r="4" spans="1:2" x14ac:dyDescent="0.3">
      <c r="A4" s="4" t="s">
        <v>61</v>
      </c>
      <c r="B4" s="7">
        <v>47</v>
      </c>
    </row>
    <row r="5" spans="1:2" x14ac:dyDescent="0.3">
      <c r="A5" s="4" t="s">
        <v>40</v>
      </c>
      <c r="B5" s="7">
        <v>55</v>
      </c>
    </row>
    <row r="6" spans="1:2" x14ac:dyDescent="0.3">
      <c r="A6" s="4" t="s">
        <v>35</v>
      </c>
      <c r="B6" s="7">
        <v>65</v>
      </c>
    </row>
    <row r="7" spans="1:2" x14ac:dyDescent="0.3">
      <c r="A7" s="4" t="s">
        <v>51</v>
      </c>
      <c r="B7" s="7">
        <v>63</v>
      </c>
    </row>
    <row r="8" spans="1:2" x14ac:dyDescent="0.3">
      <c r="A8" s="4" t="s">
        <v>536</v>
      </c>
      <c r="B8" s="7">
        <v>230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AA2D-EE54-4BD2-A288-8B887FFF5227}">
  <dimension ref="A3:B7"/>
  <sheetViews>
    <sheetView workbookViewId="0">
      <selection activeCell="L4" sqref="L4"/>
    </sheetView>
  </sheetViews>
  <sheetFormatPr defaultRowHeight="14.4" x14ac:dyDescent="0.3"/>
  <cols>
    <col min="1" max="1" width="12.5546875" bestFit="1" customWidth="1"/>
    <col min="2" max="2" width="20.33203125" bestFit="1" customWidth="1"/>
  </cols>
  <sheetData>
    <row r="3" spans="1:2" x14ac:dyDescent="0.3">
      <c r="A3" s="3" t="s">
        <v>535</v>
      </c>
      <c r="B3" t="s">
        <v>549</v>
      </c>
    </row>
    <row r="4" spans="1:2" x14ac:dyDescent="0.3">
      <c r="A4" s="4" t="s">
        <v>414</v>
      </c>
      <c r="B4" s="2">
        <v>65940</v>
      </c>
    </row>
    <row r="5" spans="1:2" x14ac:dyDescent="0.3">
      <c r="A5" s="4" t="s">
        <v>416</v>
      </c>
      <c r="B5" s="2">
        <v>58730</v>
      </c>
    </row>
    <row r="6" spans="1:2" x14ac:dyDescent="0.3">
      <c r="A6" s="4" t="s">
        <v>43</v>
      </c>
      <c r="B6" s="2">
        <v>57885</v>
      </c>
    </row>
    <row r="7" spans="1:2" x14ac:dyDescent="0.3">
      <c r="A7" s="4" t="s">
        <v>536</v>
      </c>
      <c r="B7" s="2">
        <v>182555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B3952-3941-4BCA-B95D-04F0BE3975B2}">
  <dimension ref="A3:B10"/>
  <sheetViews>
    <sheetView workbookViewId="0">
      <selection activeCell="J22" sqref="J22"/>
    </sheetView>
  </sheetViews>
  <sheetFormatPr defaultRowHeight="14.4" x14ac:dyDescent="0.3"/>
  <cols>
    <col min="1" max="1" width="12.5546875" bestFit="1" customWidth="1"/>
    <col min="2" max="2" width="22.77734375" bestFit="1" customWidth="1"/>
  </cols>
  <sheetData>
    <row r="3" spans="1:2" x14ac:dyDescent="0.3">
      <c r="A3" s="3" t="s">
        <v>535</v>
      </c>
      <c r="B3" t="s">
        <v>554</v>
      </c>
    </row>
    <row r="4" spans="1:2" x14ac:dyDescent="0.3">
      <c r="A4" s="4" t="s">
        <v>54</v>
      </c>
      <c r="B4" s="7">
        <v>50.133333333333333</v>
      </c>
    </row>
    <row r="5" spans="1:2" x14ac:dyDescent="0.3">
      <c r="A5" s="4" t="s">
        <v>38</v>
      </c>
      <c r="B5" s="7">
        <v>51.694444444444443</v>
      </c>
    </row>
    <row r="6" spans="1:2" x14ac:dyDescent="0.3">
      <c r="A6" s="4" t="s">
        <v>44</v>
      </c>
      <c r="B6" s="7">
        <v>49.258064516129032</v>
      </c>
    </row>
    <row r="7" spans="1:2" x14ac:dyDescent="0.3">
      <c r="A7" s="4" t="s">
        <v>32</v>
      </c>
      <c r="B7" s="7">
        <v>46.760869565217391</v>
      </c>
    </row>
    <row r="8" spans="1:2" x14ac:dyDescent="0.3">
      <c r="A8" s="4" t="s">
        <v>50</v>
      </c>
      <c r="B8" s="7">
        <v>46.727272727272727</v>
      </c>
    </row>
    <row r="9" spans="1:2" x14ac:dyDescent="0.3">
      <c r="A9" s="4" t="s">
        <v>56</v>
      </c>
      <c r="B9" s="7">
        <v>47.564102564102562</v>
      </c>
    </row>
    <row r="10" spans="1:2" x14ac:dyDescent="0.3">
      <c r="A10" s="4" t="s">
        <v>536</v>
      </c>
      <c r="B10" s="7">
        <v>48.660869565217389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B1ADE-48DF-479F-AB2D-82DDAA030ABB}">
  <dimension ref="A3:B7"/>
  <sheetViews>
    <sheetView workbookViewId="0">
      <selection activeCell="N14" sqref="N14"/>
    </sheetView>
  </sheetViews>
  <sheetFormatPr defaultRowHeight="14.4" x14ac:dyDescent="0.3"/>
  <cols>
    <col min="1" max="1" width="12.5546875" bestFit="1" customWidth="1"/>
    <col min="2" max="2" width="16.44140625" bestFit="1" customWidth="1"/>
  </cols>
  <sheetData>
    <row r="3" spans="1:2" x14ac:dyDescent="0.3">
      <c r="A3" s="3" t="s">
        <v>535</v>
      </c>
      <c r="B3" t="s">
        <v>555</v>
      </c>
    </row>
    <row r="4" spans="1:2" x14ac:dyDescent="0.3">
      <c r="A4" s="4" t="s">
        <v>41</v>
      </c>
      <c r="B4" s="7">
        <v>78</v>
      </c>
    </row>
    <row r="5" spans="1:2" x14ac:dyDescent="0.3">
      <c r="A5" s="4" t="s">
        <v>36</v>
      </c>
      <c r="B5" s="7">
        <v>122</v>
      </c>
    </row>
    <row r="6" spans="1:2" x14ac:dyDescent="0.3">
      <c r="A6" s="4" t="s">
        <v>53</v>
      </c>
      <c r="B6" s="7">
        <v>30</v>
      </c>
    </row>
    <row r="7" spans="1:2" x14ac:dyDescent="0.3">
      <c r="A7" s="4" t="s">
        <v>536</v>
      </c>
      <c r="B7" s="7">
        <v>230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election activeCell="A6" sqref="A6"/>
    </sheetView>
  </sheetViews>
  <sheetFormatPr defaultRowHeight="14.4" x14ac:dyDescent="0.3"/>
  <sheetData>
    <row r="1" spans="1:1" x14ac:dyDescent="0.3">
      <c r="A1" t="s">
        <v>404</v>
      </c>
    </row>
    <row r="2" spans="1:1" x14ac:dyDescent="0.3">
      <c r="A2" t="s">
        <v>405</v>
      </c>
    </row>
    <row r="3" spans="1:1" x14ac:dyDescent="0.3">
      <c r="A3" t="s">
        <v>406</v>
      </c>
    </row>
    <row r="4" spans="1:1" x14ac:dyDescent="0.3">
      <c r="A4" t="s">
        <v>407</v>
      </c>
    </row>
    <row r="5" spans="1:1" x14ac:dyDescent="0.3">
      <c r="A5" t="s">
        <v>408</v>
      </c>
    </row>
    <row r="6" spans="1:1" x14ac:dyDescent="0.3">
      <c r="A6" t="s">
        <v>409</v>
      </c>
    </row>
    <row r="7" spans="1:1" x14ac:dyDescent="0.3">
      <c r="A7" t="s">
        <v>410</v>
      </c>
    </row>
    <row r="8" spans="1:1" x14ac:dyDescent="0.3">
      <c r="A8" t="s">
        <v>411</v>
      </c>
    </row>
    <row r="9" spans="1:1" x14ac:dyDescent="0.3">
      <c r="A9" t="s">
        <v>412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election activeCell="H18" sqref="H18"/>
    </sheetView>
  </sheetViews>
  <sheetFormatPr defaultRowHeight="14.4" x14ac:dyDescent="0.3"/>
  <sheetData>
    <row r="1" spans="1:1" x14ac:dyDescent="0.3">
      <c r="A1"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4" spans="1:1" x14ac:dyDescent="0.3">
      <c r="A14" t="s">
        <v>11</v>
      </c>
    </row>
    <row r="15" spans="1:1" x14ac:dyDescent="0.3">
      <c r="A15" t="s">
        <v>12</v>
      </c>
    </row>
    <row r="16" spans="1:1" x14ac:dyDescent="0.3">
      <c r="A16" t="s">
        <v>13</v>
      </c>
    </row>
    <row r="17" spans="1:1" x14ac:dyDescent="0.3">
      <c r="A17" t="s">
        <v>14</v>
      </c>
    </row>
    <row r="18" spans="1:1" x14ac:dyDescent="0.3">
      <c r="A18" t="s">
        <v>15</v>
      </c>
    </row>
    <row r="19" spans="1:1" x14ac:dyDescent="0.3">
      <c r="A19" t="s">
        <v>16</v>
      </c>
    </row>
    <row r="20" spans="1:1" x14ac:dyDescent="0.3">
      <c r="A20" t="s">
        <v>17</v>
      </c>
    </row>
    <row r="21" spans="1:1" x14ac:dyDescent="0.3">
      <c r="A2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cleaned data</vt:lpstr>
      <vt:lpstr>Monthly sales</vt:lpstr>
      <vt:lpstr>citywise order count</vt:lpstr>
      <vt:lpstr>ratings</vt:lpstr>
      <vt:lpstr>order count</vt:lpstr>
      <vt:lpstr>pay mode</vt:lpstr>
      <vt:lpstr>TOP CUSTOMERS</vt:lpstr>
      <vt:lpstr>delivery time</vt:lpstr>
      <vt:lpstr>order status</vt:lpstr>
      <vt:lpstr>Dashboard_Requirements</vt:lpstr>
      <vt:lpstr>Project_Instructions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Priyanka Tawde</cp:lastModifiedBy>
  <cp:revision/>
  <dcterms:created xsi:type="dcterms:W3CDTF">2026-05-13T10:45:16Z</dcterms:created>
  <dcterms:modified xsi:type="dcterms:W3CDTF">2026-05-19T13:05:00Z</dcterms:modified>
  <cp:category/>
  <cp:contentStatus/>
</cp:coreProperties>
</file>